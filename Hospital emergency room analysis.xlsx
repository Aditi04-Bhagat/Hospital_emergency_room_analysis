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iti Bhagat\Desktop\"/>
    </mc:Choice>
  </mc:AlternateContent>
  <xr:revisionPtr revIDLastSave="0" documentId="13_ncr:1_{9287D2BA-A96C-4B2E-91B1-22FB57CA689E}" xr6:coauthVersionLast="47" xr6:coauthVersionMax="47" xr10:uidLastSave="{00000000-0000-0000-0000-000000000000}"/>
  <bookViews>
    <workbookView xWindow="-108" yWindow="-108" windowWidth="23256" windowHeight="12456" firstSheet="1" activeTab="4" xr2:uid="{5283A5DB-5E62-48CF-B6FE-F9F29F2763B7}"/>
  </bookViews>
  <sheets>
    <sheet name="Pivot Report" sheetId="2" r:id="rId1"/>
    <sheet name="Dashboard" sheetId="3" r:id="rId2"/>
    <sheet name="Satisfaction score daily trend" sheetId="6" r:id="rId3"/>
    <sheet name="Average wait time daily trend" sheetId="5" r:id="rId4"/>
    <sheet name="Daily ER No. of patients" sheetId="4"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_22d6b7d8-6e0c-4305-b438-d20ea35bd327" name="Calendar_Table" connection="Query - Calendar_Table"/>
          <x15:modelTable id="Hospital Emergency Room Data_61e7ef65-5368-4175-adc2-c99373fbcf54" name="Hospital Emergency Room Data" connection="Query - Hospital Emergency Room Data"/>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47" i="2" l="1"/>
  <c r="C47" i="2"/>
  <c r="B48" i="2"/>
  <c r="C48" i="2"/>
  <c r="A47" i="2"/>
  <c r="A4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3333DF-39ED-42E1-A978-F778D6BDF502}" name="Query - Calendar_Table" description="Connection to the 'Calendar_Table' query in the workbook." type="100" refreshedVersion="8" minRefreshableVersion="5">
    <extLst>
      <ext xmlns:x15="http://schemas.microsoft.com/office/spreadsheetml/2010/11/main" uri="{DE250136-89BD-433C-8126-D09CA5730AF9}">
        <x15:connection id="be24dbf5-7418-43d2-8bcd-4c780537f9bb"/>
      </ext>
    </extLst>
  </connection>
  <connection id="2" xr16:uid="{6EE0DF76-A2F9-4431-B19A-16BC35E787B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cb33b95-2a1a-44eb-aa93-763c7221955e"/>
      </ext>
    </extLst>
  </connection>
  <connection id="3" xr16:uid="{AA34A867-9E33-4396-B6A6-36B623E9D8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<sst xmlns="http://schemas.openxmlformats.org/spreadsheetml/2006/main" count="160" uniqueCount="78">
  <si>
    <t>Distinct Count of Patient Id</t>
  </si>
  <si>
    <t>No. of patient</t>
  </si>
  <si>
    <t>Average of Patient Waittime</t>
  </si>
  <si>
    <t>Average of Patient Satisfaction Score</t>
  </si>
  <si>
    <t>Grand Total</t>
  </si>
  <si>
    <t>Row Labels</t>
  </si>
  <si>
    <t>Showing a daily trend with an area sparkline to spot patterns like busy days or seasonal trends.</t>
  </si>
  <si>
    <t>Daily trends of No. of patients visiting ER</t>
  </si>
  <si>
    <t>Used an area sparkline to track daily changes and highlights days with longer wait times that might need improvements.</t>
  </si>
  <si>
    <t>Average wait time daily trend</t>
  </si>
  <si>
    <t>Average patient satisfaction score daily trend</t>
  </si>
  <si>
    <t>Used an area chart to show trends,spot trends in satisfaction, and link them to busy time or challenges.</t>
  </si>
  <si>
    <t>admitted</t>
  </si>
  <si>
    <t>not admitted</t>
  </si>
  <si>
    <t>Count of Patient Admission Flag</t>
  </si>
  <si>
    <t>Count of Patient Admission Flag2</t>
  </si>
  <si>
    <t>Admission Status</t>
  </si>
  <si>
    <t>% Status</t>
  </si>
  <si>
    <t>Patients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</si>
  <si>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</si>
  <si>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</si>
  <si>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</si>
  <si>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</si>
  <si>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</si>
  <si>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</si>
  <si>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</si>
  <si>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</si>
  <si>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</si>
  <si>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</si>
  <si>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</si>
  <si>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</si>
  <si>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</si>
  <si>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</si>
  <si>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</si>
  <si>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</si>
  <si>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</si>
  <si>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</si>
  <si>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</si>
  <si>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</si>
  <si>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</si>
  <si>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</si>
  <si>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</si>
  <si>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</si>
  <si>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</si>
  <si>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</si>
  <si>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</si>
  <si>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</si>
  <si>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</si>
  <si>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</si>
  <si>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</si>
  <si>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0-09</t>
  </si>
  <si>
    <t>10-19</t>
  </si>
  <si>
    <t>20-29</t>
  </si>
  <si>
    <t>30-39</t>
  </si>
  <si>
    <t>40-49</t>
  </si>
  <si>
    <t>50-59</t>
  </si>
  <si>
    <t>60-69</t>
  </si>
  <si>
    <t>70-79</t>
  </si>
  <si>
    <t>Count of Age Group</t>
  </si>
  <si>
    <t>Age group wise analysis</t>
  </si>
  <si>
    <t>Delay</t>
  </si>
  <si>
    <t>Ontime</t>
  </si>
  <si>
    <t>Count of Patient Attend Status</t>
  </si>
  <si>
    <t>Female</t>
  </si>
  <si>
    <t>Male</t>
  </si>
  <si>
    <t>Cardiology</t>
  </si>
  <si>
    <t>Gastroenterology</t>
  </si>
  <si>
    <t>General Practice</t>
  </si>
  <si>
    <t>Neurology</t>
  </si>
  <si>
    <t>None</t>
  </si>
  <si>
    <t>Orthopedics</t>
  </si>
  <si>
    <t>Physiotherapy</t>
  </si>
  <si>
    <t>Renal</t>
  </si>
  <si>
    <t>Count of Patient Id</t>
  </si>
  <si>
    <t>2024</t>
  </si>
  <si>
    <t>Patient attend status</t>
  </si>
  <si>
    <t>No. of patients by gender</t>
  </si>
  <si>
    <t>No. of patients by department referal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</si>
</sst>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6" x14ac:knownFonts="1">
    <font>
      <sz val="11"/>
      <color theme="1"/>
      <name val="Calibri"/>
      <family val="2"/>
      <scheme val="minor"/>
    </font>
    <font>
      <b/>
      <sz val="11"/>
      <color theme="1"/>
      <name val="Calibri"/>
      <family val="2"/>
      <scheme val="minor"/>
    </font>
    <font>
      <sz val="12"/>
      <color theme="1"/>
      <name val="Calibri"/>
      <family val="2"/>
      <scheme val="minor"/>
    </font>
    <font>
      <sz val="11"/>
      <color theme="1"/>
      <name val="Calibri"/>
      <family val="2"/>
      <scheme val="minor"/>
    </font>
    <font>
      <sz val="11"/>
      <color theme="0"/>
      <name val="Calibri"/>
      <family val="2"/>
      <scheme val="minor"/>
    </font>
    <font>
      <b/>
      <sz val="11"/>
      <color theme="0"/>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5" tint="0.59999389629810485"/>
        <bgColor indexed="64"/>
      </patternFill>
    </fill>
    <fill>
      <patternFill patternType="solid">
        <fgColor theme="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8">
    <xf numFmtId="0" fontId="0" fillId="0" borderId="0" xfId="0"/>
    <xf numFmtId="0" fontId="0" fillId="2" borderId="0" xfId="0" applyFill="1"/>
    <xf numFmtId="0" fontId="2" fillId="2" borderId="0" xfId="0" applyFont="1" applyFill="1"/>
    <xf numFmtId="0" fontId="0" fillId="0" borderId="1" xfId="0" pivotButton="1" applyBorder="1"/>
    <xf numFmtId="0" fontId="0" fillId="0" borderId="1" xfId="0" applyBorder="1"/>
    <xf numFmtId="0" fontId="0" fillId="0" borderId="1" xfId="0" applyBorder="1" applyAlignment="1">
      <alignment horizontal="left"/>
    </xf>
    <xf numFmtId="2" fontId="0" fillId="0" borderId="1" xfId="0" applyNumberFormat="1" applyBorder="1"/>
    <xf numFmtId="164" fontId="0" fillId="0" borderId="1" xfId="0" applyNumberFormat="1" applyBorder="1"/>
    <xf numFmtId="1" fontId="0" fillId="0" borderId="1" xfId="0" applyNumberFormat="1" applyBorder="1"/>
    <xf numFmtId="10" fontId="0" fillId="0" borderId="1" xfId="0" applyNumberFormat="1" applyBorder="1"/>
    <xf numFmtId="0" fontId="4" fillId="4" borderId="0" xfId="0" applyFont="1" applyFill="1"/>
    <xf numFmtId="0" fontId="0" fillId="0" borderId="0" xfId="0" applyAlignment="1">
      <alignment horizontal="center"/>
    </xf>
    <xf numFmtId="10" fontId="0" fillId="0" borderId="0" xfId="1" applyNumberFormat="1" applyFont="1" applyAlignment="1">
      <alignment horizontal="center"/>
    </xf>
    <xf numFmtId="0" fontId="5" fillId="4" borderId="0" xfId="0" applyFont="1" applyFill="1" applyAlignment="1">
      <alignment horizontal="center"/>
    </xf>
    <xf numFmtId="0" fontId="0" fillId="0" borderId="0" xfId="0" applyAlignment="1">
      <alignment horizontal="left"/>
    </xf>
    <xf numFmtId="0" fontId="1" fillId="3" borderId="1" xfId="0" applyFont="1" applyFill="1" applyBorder="1"/>
    <xf numFmtId="0" fontId="1" fillId="3" borderId="1" xfId="0" applyFont="1" applyFill="1" applyBorder="1" applyAlignment="1">
      <alignment horizontal="center"/>
    </xf>
    <xf numFmtId="0" fontId="2" fillId="2" borderId="0" xfId="0" applyFont="1" applyFill="1"/>
  </cellXfs>
  <cellStyles count="2">
    <cellStyle name="Normal" xfId="0" builtinId="0"/>
    <cellStyle name="Percent" xfId="1" builtinId="5"/>
  </cellStyles>
  <dxfs count="6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dxf>
    <dxf>
      <numFmt numFmtId="2" formatCode="0.00"/>
    </dxf>
    <dxf>
      <font>
        <b val="0"/>
      </font>
    </dxf>
    <dxf>
      <numFmt numFmtId="14" formatCode="0.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dxf>
    <dxf>
      <numFmt numFmtId="2" formatCode="0.00"/>
    </dxf>
    <dxf>
      <font>
        <b val="0"/>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ont>
        <b/>
        <i val="0"/>
        <sz val="7.5"/>
        <name val="Calibri"/>
        <family val="2"/>
        <scheme val="minor"/>
      </font>
      <fill>
        <gradientFill degree="270">
          <stop position="0">
            <color theme="0"/>
          </stop>
          <stop position="1">
            <color theme="5" tint="-0.25098422193060094"/>
          </stop>
        </gradientFill>
      </fill>
      <border diagonalUp="0" diagonalDown="0">
        <left/>
        <right/>
        <top/>
        <bottom/>
        <vertical/>
        <horizontal/>
      </border>
    </dxf>
    <dxf>
      <font>
        <b/>
        <color theme="1"/>
      </font>
      <border>
        <bottom style="thin">
          <color theme="5"/>
        </bottom>
        <vertical/>
        <horizontal/>
      </border>
    </dxf>
    <dxf>
      <font>
        <sz val="7"/>
        <color theme="1"/>
      </font>
      <border diagonalUp="0" diagonalDown="0">
        <left/>
        <right/>
        <top/>
        <bottom/>
        <vertical/>
        <horizontal/>
      </border>
    </dxf>
  </dxfs>
  <tableStyles count="2" defaultTableStyle="TableStyleMedium2" defaultPivotStyle="PivotStyleLight16">
    <tableStyle name="My Style" pivot="0" table="0" count="10" xr9:uid="{E3E6232B-EFB0-498C-A178-0D19DEDABC8B}">
      <tableStyleElement type="wholeTable" dxfId="68"/>
      <tableStyleElement type="headerRow" dxfId="67"/>
    </tableStyle>
    <tableStyle name="new slicer" pivot="0" table="0" count="1" xr9:uid="{B7CD5E1D-FC23-4C9E-86D0-F51ED1033364}">
      <tableStyleElement type="wholeTable" dxfId="66"/>
    </tableStyle>
  </tableStyles>
  <colors>
    <mruColors>
      <color rgb="FF0066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new slice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pivotFmt>
      <c:pivotFmt>
        <c:idx val="5"/>
      </c:pivotFmt>
    </c:pivotFmts>
    <c:plotArea>
      <c:layout>
        <c:manualLayout>
          <c:layoutTarget val="inner"/>
          <c:xMode val="edge"/>
          <c:yMode val="edge"/>
          <c:x val="3.1257641707829998E-3"/>
          <c:y val="6.3621492581024926E-3"/>
          <c:w val="0.99687423582921697"/>
          <c:h val="0.66096744408082753"/>
        </c:manualLayout>
      </c:layout>
      <c:barChart>
        <c:barDir val="bar"/>
        <c:grouping val="clustered"/>
        <c:varyColors val="0"/>
        <c:ser>
          <c:idx val="0"/>
          <c:order val="0"/>
          <c:tx>
            <c:v>Count of Patient Admission Flag</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admitted</c:v>
              </c:pt>
              <c:pt idx="1">
                <c:v>not admitted</c:v>
              </c:pt>
            </c:strLit>
          </c:cat>
          <c:val>
            <c:numLit>
              <c:formatCode>General</c:formatCode>
              <c:ptCount val="2"/>
              <c:pt idx="0">
                <c:v>269</c:v>
              </c:pt>
              <c:pt idx="1">
                <c:v>244</c:v>
              </c:pt>
            </c:numLit>
          </c:val>
          <c:extLst>
            <c:ext xmlns:c16="http://schemas.microsoft.com/office/drawing/2014/chart" uri="{C3380CC4-5D6E-409C-BE32-E72D297353CC}">
              <c16:uniqueId val="{00000000-3153-41DD-AC76-9CFA64BA0D4A}"/>
            </c:ext>
          </c:extLst>
        </c:ser>
        <c:ser>
          <c:idx val="1"/>
          <c:order val="1"/>
          <c:tx>
            <c:v>Count of Patient Admission Flag2</c:v>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4-3153-41DD-AC76-9CFA64BA0D4A}"/>
              </c:ext>
            </c:extLst>
          </c:dPt>
          <c:dPt>
            <c:idx val="1"/>
            <c:invertIfNegative val="0"/>
            <c:bubble3D val="0"/>
            <c:extLst>
              <c:ext xmlns:c16="http://schemas.microsoft.com/office/drawing/2014/chart" uri="{C3380CC4-5D6E-409C-BE32-E72D297353CC}">
                <c16:uniqueId val="{00000003-3153-41DD-AC76-9CFA64BA0D4A}"/>
              </c:ext>
            </c:extLst>
          </c:dPt>
          <c:dLbls>
            <c:delete val="1"/>
          </c:dLbls>
          <c:cat>
            <c:strLit>
              <c:ptCount val="2"/>
              <c:pt idx="0">
                <c:v>admitted</c:v>
              </c:pt>
              <c:pt idx="1">
                <c:v>not admitted</c:v>
              </c:pt>
            </c:strLit>
          </c:cat>
          <c:val>
            <c:numLit>
              <c:formatCode>General</c:formatCode>
              <c:ptCount val="2"/>
              <c:pt idx="0">
                <c:v>0.52436647173489281</c:v>
              </c:pt>
              <c:pt idx="1">
                <c:v>0.47563352826510719</c:v>
              </c:pt>
            </c:numLit>
          </c:val>
          <c:extLst>
            <c:ext xmlns:c16="http://schemas.microsoft.com/office/drawing/2014/chart" uri="{C3380CC4-5D6E-409C-BE32-E72D297353CC}">
              <c16:uniqueId val="{00000001-3153-41DD-AC76-9CFA64BA0D4A}"/>
            </c:ext>
          </c:extLst>
        </c:ser>
        <c:dLbls>
          <c:dLblPos val="inEnd"/>
          <c:showLegendKey val="0"/>
          <c:showVal val="1"/>
          <c:showCatName val="0"/>
          <c:showSerName val="0"/>
          <c:showPercent val="0"/>
          <c:showBubbleSize val="0"/>
        </c:dLbls>
        <c:gapWidth val="0"/>
        <c:axId val="1074210687"/>
        <c:axId val="1074207327"/>
      </c:barChart>
      <c:catAx>
        <c:axId val="1074210687"/>
        <c:scaling>
          <c:orientation val="minMax"/>
        </c:scaling>
        <c:delete val="1"/>
        <c:axPos val="l"/>
        <c:numFmt formatCode="General" sourceLinked="1"/>
        <c:majorTickMark val="none"/>
        <c:minorTickMark val="none"/>
        <c:tickLblPos val="nextTo"/>
        <c:crossAx val="1074207327"/>
        <c:crosses val="autoZero"/>
        <c:auto val="1"/>
        <c:lblAlgn val="ctr"/>
        <c:lblOffset val="100"/>
        <c:noMultiLvlLbl val="0"/>
      </c:catAx>
      <c:valAx>
        <c:axId val="1074207327"/>
        <c:scaling>
          <c:orientation val="minMax"/>
        </c:scaling>
        <c:delete val="1"/>
        <c:axPos val="b"/>
        <c:numFmt formatCode="General" sourceLinked="1"/>
        <c:majorTickMark val="none"/>
        <c:minorTickMark val="none"/>
        <c:tickLblPos val="nextTo"/>
        <c:crossAx val="107421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 2.xlsx]Pivot Report!PivotTable7</c:name>
    <c:fmtId val="0"/>
  </c:pivotSource>
  <c:chart>
    <c:autoTitleDeleted val="0"/>
    <c:pivotFmts>
      <c:pivotFmt>
        <c:idx val="0"/>
        <c:spPr>
          <a:solidFill>
            <a:schemeClr val="accent1">
              <a:lumMod val="75000"/>
            </a:schemeClr>
          </a:solidFill>
          <a:ln>
            <a:noFill/>
          </a:ln>
          <a:effectLst>
            <a:outerShdw blurRad="50800" dist="38100" dir="2700000" algn="tl" rotWithShape="0">
              <a:prstClr val="black">
                <a:alpha val="40000"/>
              </a:prstClr>
            </a:outerShdw>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a:lstStyle/>
              <a:p>
                <a:fld id="{32BDFB11-3DB9-434B-93BF-65065C6A7B8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0FC616F3-0C6A-4EAC-AD42-8AAEB5C578B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pivotFmt>
      <c:pivotFmt>
        <c:idx val="5"/>
      </c:pivotFmt>
    </c:pivotFmts>
    <c:plotArea>
      <c:layout>
        <c:manualLayout>
          <c:layoutTarget val="inner"/>
          <c:xMode val="edge"/>
          <c:yMode val="edge"/>
          <c:x val="0"/>
          <c:y val="0.24606863988577407"/>
          <c:w val="0.73289607656801525"/>
          <c:h val="0.5864661654135338"/>
        </c:manualLayout>
      </c:layout>
      <c:barChart>
        <c:barDir val="bar"/>
        <c:grouping val="clustered"/>
        <c:varyColors val="0"/>
        <c:ser>
          <c:idx val="0"/>
          <c:order val="0"/>
          <c:tx>
            <c:strRef>
              <c:f>'Pivot Report'!$B$39</c:f>
              <c:strCache>
                <c:ptCount val="1"/>
                <c:pt idx="0">
                  <c:v>Count of Patient Admission Flag</c:v>
                </c:pt>
              </c:strCache>
            </c:strRef>
          </c:tx>
          <c:spPr>
            <a:solidFill>
              <a:schemeClr val="accent1">
                <a:lumMod val="75000"/>
              </a:schemeClr>
            </a:solidFill>
            <a:ln>
              <a:noFill/>
            </a:ln>
            <a:effectLst>
              <a:outerShdw blurRad="50800" dist="38100" dir="2700000" algn="tl" rotWithShape="0">
                <a:prstClr val="black">
                  <a:alpha val="40000"/>
                </a:prstClr>
              </a:outerShdw>
            </a:effectLst>
          </c:spPr>
          <c:invertIfNegative val="0"/>
          <c:cat>
            <c:strRef>
              <c:f>'Pivot Report'!$A$40:$A$42</c:f>
              <c:strCache>
                <c:ptCount val="2"/>
                <c:pt idx="0">
                  <c:v>admitted</c:v>
                </c:pt>
                <c:pt idx="1">
                  <c:v>not admitted</c:v>
                </c:pt>
              </c:strCache>
            </c:strRef>
          </c:cat>
          <c:val>
            <c:numRef>
              <c:f>'Pivot Report'!$B$40:$B$42</c:f>
              <c:numCache>
                <c:formatCode>0</c:formatCode>
                <c:ptCount val="2"/>
                <c:pt idx="0">
                  <c:v>269</c:v>
                </c:pt>
                <c:pt idx="1">
                  <c:v>244</c:v>
                </c:pt>
              </c:numCache>
            </c:numRef>
          </c:val>
          <c:extLst>
            <c:ext xmlns:c16="http://schemas.microsoft.com/office/drawing/2014/chart" uri="{C3380CC4-5D6E-409C-BE32-E72D297353CC}">
              <c16:uniqueId val="{00000019-C391-432C-9E48-6D7C78E1C0EF}"/>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cat>
            <c:strRef>
              <c:f>'Pivot Report'!$A$40:$A$42</c:f>
              <c:strCache>
                <c:ptCount val="2"/>
                <c:pt idx="0">
                  <c:v>admitted</c:v>
                </c:pt>
                <c:pt idx="1">
                  <c:v>not admitted</c:v>
                </c:pt>
              </c:strCache>
            </c:strRef>
          </c:cat>
          <c:val>
            <c:numRef>
              <c:f>'Pivot Report'!$C$40:$C$42</c:f>
              <c:numCache>
                <c:formatCode>0.00%</c:formatCode>
                <c:ptCount val="2"/>
                <c:pt idx="0">
                  <c:v>0.52436647173489281</c:v>
                </c:pt>
                <c:pt idx="1">
                  <c:v>0.47563352826510719</c:v>
                </c:pt>
              </c:numCache>
            </c:numRef>
          </c:val>
          <c:extLst>
            <c:ext xmlns:c16="http://schemas.microsoft.com/office/drawing/2014/chart" uri="{C3380CC4-5D6E-409C-BE32-E72D297353CC}">
              <c16:uniqueId val="{0000001A-C391-432C-9E48-6D7C78E1C0EF}"/>
            </c:ext>
          </c:extLst>
        </c:ser>
        <c:dLbls>
          <c:showLegendKey val="0"/>
          <c:showVal val="0"/>
          <c:showCatName val="0"/>
          <c:showSerName val="0"/>
          <c:showPercent val="0"/>
          <c:showBubbleSize val="0"/>
        </c:dLbls>
        <c:gapWidth val="0"/>
        <c:axId val="996488831"/>
        <c:axId val="996505631"/>
      </c:barChart>
      <c:catAx>
        <c:axId val="996488831"/>
        <c:scaling>
          <c:orientation val="minMax"/>
        </c:scaling>
        <c:delete val="1"/>
        <c:axPos val="l"/>
        <c:numFmt formatCode="General" sourceLinked="1"/>
        <c:majorTickMark val="none"/>
        <c:minorTickMark val="none"/>
        <c:tickLblPos val="nextTo"/>
        <c:crossAx val="996505631"/>
        <c:crosses val="autoZero"/>
        <c:auto val="1"/>
        <c:lblAlgn val="ctr"/>
        <c:lblOffset val="100"/>
        <c:noMultiLvlLbl val="0"/>
      </c:catAx>
      <c:valAx>
        <c:axId val="996505631"/>
        <c:scaling>
          <c:orientation val="minMax"/>
        </c:scaling>
        <c:delete val="1"/>
        <c:axPos val="b"/>
        <c:numFmt formatCode="0" sourceLinked="1"/>
        <c:majorTickMark val="none"/>
        <c:minorTickMark val="none"/>
        <c:tickLblPos val="nextTo"/>
        <c:crossAx val="99648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 2.xlsx]Pivot Report!PivotTable1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553988349085139"/>
          <c:w val="0.98878204845095108"/>
          <c:h val="0.82445965441171709"/>
        </c:manualLayout>
      </c:layout>
      <c:areaChart>
        <c:grouping val="standard"/>
        <c:varyColors val="0"/>
        <c:ser>
          <c:idx val="0"/>
          <c:order val="0"/>
          <c:tx>
            <c:strRef>
              <c:f>'Pivot Report'!$D$4</c:f>
              <c:strCache>
                <c:ptCount val="1"/>
                <c:pt idx="0">
                  <c:v>Total</c:v>
                </c:pt>
              </c:strCache>
            </c:strRef>
          </c:tx>
          <c:spPr>
            <a:solidFill>
              <a:schemeClr val="accent1">
                <a:lumMod val="75000"/>
              </a:schemeClr>
            </a:solidFill>
            <a:ln w="25400">
              <a:noFill/>
            </a:ln>
            <a:effectLst/>
          </c:spP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B-29E6-4204-BBA4-6F32FD16D767}"/>
            </c:ext>
          </c:extLst>
        </c:ser>
        <c:dLbls>
          <c:showLegendKey val="0"/>
          <c:showVal val="0"/>
          <c:showCatName val="0"/>
          <c:showSerName val="0"/>
          <c:showPercent val="0"/>
          <c:showBubbleSize val="0"/>
        </c:dLbls>
        <c:axId val="1924535536"/>
        <c:axId val="1924536496"/>
      </c:areaChart>
      <c:catAx>
        <c:axId val="1924535536"/>
        <c:scaling>
          <c:orientation val="minMax"/>
        </c:scaling>
        <c:delete val="1"/>
        <c:axPos val="b"/>
        <c:numFmt formatCode="General" sourceLinked="1"/>
        <c:majorTickMark val="out"/>
        <c:minorTickMark val="none"/>
        <c:tickLblPos val="nextTo"/>
        <c:crossAx val="1924536496"/>
        <c:crosses val="autoZero"/>
        <c:auto val="1"/>
        <c:lblAlgn val="ctr"/>
        <c:lblOffset val="100"/>
        <c:noMultiLvlLbl val="0"/>
      </c:catAx>
      <c:valAx>
        <c:axId val="1924536496"/>
        <c:scaling>
          <c:orientation val="minMax"/>
        </c:scaling>
        <c:delete val="1"/>
        <c:axPos val="l"/>
        <c:numFmt formatCode="General" sourceLinked="1"/>
        <c:majorTickMark val="none"/>
        <c:minorTickMark val="none"/>
        <c:tickLblPos val="nextTo"/>
        <c:crossAx val="1924535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 2.xlsx]Pivot Report!PivotTable5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95514765618944E-2"/>
          <c:y val="0.27206882864656556"/>
          <c:w val="0.81950548740752649"/>
          <c:h val="0.52740972612177761"/>
        </c:manualLayout>
      </c:layout>
      <c:areaChart>
        <c:grouping val="standard"/>
        <c:varyColors val="0"/>
        <c:ser>
          <c:idx val="0"/>
          <c:order val="0"/>
          <c:tx>
            <c:strRef>
              <c:f>'Pivot Report'!$G$4</c:f>
              <c:strCache>
                <c:ptCount val="1"/>
                <c:pt idx="0">
                  <c:v>Total</c:v>
                </c:pt>
              </c:strCache>
            </c:strRef>
          </c:tx>
          <c:spPr>
            <a:solidFill>
              <a:schemeClr val="accent1">
                <a:lumMod val="75000"/>
              </a:schemeClr>
            </a:solidFill>
            <a:ln w="25400">
              <a:noFill/>
            </a:ln>
            <a:effectLst/>
          </c:spPr>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B-6CEE-468B-945E-5C1D45B9A31A}"/>
            </c:ext>
          </c:extLst>
        </c:ser>
        <c:dLbls>
          <c:showLegendKey val="0"/>
          <c:showVal val="0"/>
          <c:showCatName val="0"/>
          <c:showSerName val="0"/>
          <c:showPercent val="0"/>
          <c:showBubbleSize val="0"/>
        </c:dLbls>
        <c:axId val="769967327"/>
        <c:axId val="769969247"/>
      </c:areaChart>
      <c:catAx>
        <c:axId val="769967327"/>
        <c:scaling>
          <c:orientation val="minMax"/>
        </c:scaling>
        <c:delete val="1"/>
        <c:axPos val="b"/>
        <c:numFmt formatCode="General" sourceLinked="1"/>
        <c:majorTickMark val="out"/>
        <c:minorTickMark val="none"/>
        <c:tickLblPos val="nextTo"/>
        <c:crossAx val="769969247"/>
        <c:crosses val="autoZero"/>
        <c:auto val="1"/>
        <c:lblAlgn val="ctr"/>
        <c:lblOffset val="100"/>
        <c:noMultiLvlLbl val="0"/>
      </c:catAx>
      <c:valAx>
        <c:axId val="769969247"/>
        <c:scaling>
          <c:orientation val="minMax"/>
        </c:scaling>
        <c:delete val="1"/>
        <c:axPos val="l"/>
        <c:numFmt formatCode="0.00" sourceLinked="1"/>
        <c:majorTickMark val="none"/>
        <c:minorTickMark val="none"/>
        <c:tickLblPos val="nextTo"/>
        <c:crossAx val="76996732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 2.xlsx]Pivot Report!PivotTable6</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233931514374657E-2"/>
          <c:y val="0.25"/>
          <c:w val="0.85835698590001852"/>
          <c:h val="0.64551304416954114"/>
        </c:manualLayout>
      </c:layout>
      <c:areaChart>
        <c:grouping val="standard"/>
        <c:varyColors val="0"/>
        <c:ser>
          <c:idx val="0"/>
          <c:order val="0"/>
          <c:tx>
            <c:strRef>
              <c:f>'Pivot Report'!$J$4</c:f>
              <c:strCache>
                <c:ptCount val="1"/>
                <c:pt idx="0">
                  <c:v>Total</c:v>
                </c:pt>
              </c:strCache>
            </c:strRef>
          </c:tx>
          <c:spPr>
            <a:solidFill>
              <a:schemeClr val="accent1">
                <a:lumMod val="75000"/>
              </a:schemeClr>
            </a:solidFill>
            <a:ln w="25400">
              <a:noFill/>
            </a:ln>
            <a:effectLst/>
          </c:spPr>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B-6E16-405D-832C-CDC3B44CDD8E}"/>
            </c:ext>
          </c:extLst>
        </c:ser>
        <c:dLbls>
          <c:showLegendKey val="0"/>
          <c:showVal val="0"/>
          <c:showCatName val="0"/>
          <c:showSerName val="0"/>
          <c:showPercent val="0"/>
          <c:showBubbleSize val="0"/>
        </c:dLbls>
        <c:axId val="543398480"/>
        <c:axId val="543405200"/>
      </c:areaChart>
      <c:catAx>
        <c:axId val="543398480"/>
        <c:scaling>
          <c:orientation val="minMax"/>
        </c:scaling>
        <c:delete val="1"/>
        <c:axPos val="b"/>
        <c:numFmt formatCode="General" sourceLinked="1"/>
        <c:majorTickMark val="out"/>
        <c:minorTickMark val="none"/>
        <c:tickLblPos val="nextTo"/>
        <c:crossAx val="543405200"/>
        <c:crosses val="autoZero"/>
        <c:auto val="1"/>
        <c:lblAlgn val="ctr"/>
        <c:lblOffset val="100"/>
        <c:noMultiLvlLbl val="0"/>
      </c:catAx>
      <c:valAx>
        <c:axId val="543405200"/>
        <c:scaling>
          <c:orientation val="minMax"/>
        </c:scaling>
        <c:delete val="1"/>
        <c:axPos val="l"/>
        <c:numFmt formatCode="0.00" sourceLinked="1"/>
        <c:majorTickMark val="none"/>
        <c:minorTickMark val="none"/>
        <c:tickLblPos val="nextTo"/>
        <c:crossAx val="54339848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 2.xlsx]Pivot Report!PivotTable9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6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6395149943156903E-2"/>
          <c:w val="0.98934226680753901"/>
          <c:h val="0.63528553524999531"/>
        </c:manualLayout>
      </c:layout>
      <c:barChart>
        <c:barDir val="col"/>
        <c:grouping val="clustered"/>
        <c:varyColors val="0"/>
        <c:ser>
          <c:idx val="0"/>
          <c:order val="0"/>
          <c:tx>
            <c:strRef>
              <c:f>'Pivot Report'!$B$53</c:f>
              <c:strCache>
                <c:ptCount val="1"/>
                <c:pt idx="0">
                  <c:v>Total</c:v>
                </c:pt>
              </c:strCache>
            </c:strRef>
          </c:tx>
          <c:spPr>
            <a:solidFill>
              <a:schemeClr val="accent1">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6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F74E-45BE-8EF7-A25B89443865}"/>
            </c:ext>
          </c:extLst>
        </c:ser>
        <c:dLbls>
          <c:showLegendKey val="0"/>
          <c:showVal val="0"/>
          <c:showCatName val="0"/>
          <c:showSerName val="0"/>
          <c:showPercent val="0"/>
          <c:showBubbleSize val="0"/>
        </c:dLbls>
        <c:gapWidth val="219"/>
        <c:overlap val="-27"/>
        <c:axId val="799219184"/>
        <c:axId val="799218704"/>
      </c:barChart>
      <c:catAx>
        <c:axId val="79921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799218704"/>
        <c:crosses val="autoZero"/>
        <c:auto val="1"/>
        <c:lblAlgn val="ctr"/>
        <c:lblOffset val="100"/>
        <c:noMultiLvlLbl val="0"/>
      </c:catAx>
      <c:valAx>
        <c:axId val="799218704"/>
        <c:scaling>
          <c:orientation val="minMax"/>
        </c:scaling>
        <c:delete val="1"/>
        <c:axPos val="l"/>
        <c:numFmt formatCode="0" sourceLinked="1"/>
        <c:majorTickMark val="none"/>
        <c:minorTickMark val="none"/>
        <c:tickLblPos val="nextTo"/>
        <c:crossAx val="79921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EXCEL PROJECT 2.xlsx]Pivot Report!PivotTable10</c:name>
    <c:fmtId val="14"/>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71494790203865"/>
              <c:y val="-0.1109702221594626"/>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992746441113869"/>
                  <c:h val="0.12593781609957264"/>
                </c:manualLayout>
              </c15:layout>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549499446408379"/>
              <c:y val="7.6558415921476178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6171884973643469"/>
                  <c:h val="0.14057745898450447"/>
                </c:manualLayout>
              </c15:layout>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71494790203865"/>
              <c:y val="-0.1109702221594626"/>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992746441113869"/>
                  <c:h val="0.12593781609957264"/>
                </c:manualLayout>
              </c15:layout>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549499446408379"/>
              <c:y val="7.6558415921476178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6171884973643469"/>
                  <c:h val="0.14057745898450447"/>
                </c:manualLayout>
              </c15:layout>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bg1"/>
            </a:solidFill>
          </a:ln>
          <a:effectLst>
            <a:outerShdw blurRad="76200" dist="38100" dir="2700000" algn="tl" rotWithShape="0">
              <a:schemeClr val="tx1">
                <a:alpha val="39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12700">
            <a:solidFill>
              <a:schemeClr val="bg1"/>
            </a:solidFill>
          </a:ln>
          <a:effectLst>
            <a:outerShdw blurRad="76200" dist="38100" dir="2700000" algn="tl" rotWithShape="0">
              <a:schemeClr val="tx1">
                <a:alpha val="39000"/>
              </a:schemeClr>
            </a:outerShdw>
          </a:effectLst>
        </c:spPr>
        <c:dLbl>
          <c:idx val="0"/>
          <c:layout>
            <c:manualLayout>
              <c:x val="-0.15449194444312001"/>
              <c:y val="-0.10955857819453411"/>
            </c:manualLayout>
          </c:layout>
          <c:spPr>
            <a:noFill/>
            <a:ln>
              <a:noFill/>
            </a:ln>
            <a:effectLst/>
          </c:spPr>
          <c:txPr>
            <a:bodyPr rot="0" spcFirstLastPara="1" vertOverflow="ellipsis" vert="horz" wrap="square" lIns="38100" tIns="19050" rIns="38100" bIns="19050" anchor="ctr" anchorCtr="1">
              <a:noAutofit/>
            </a:bodyPr>
            <a:lstStyle/>
            <a:p>
              <a:pPr>
                <a:defRPr sz="75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8620391517388144"/>
                  <c:h val="0.19197580348128282"/>
                </c:manualLayout>
              </c15:layout>
            </c:ext>
          </c:extLst>
        </c:dLbl>
      </c:pivotFmt>
      <c:pivotFmt>
        <c:idx val="8"/>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12700">
            <a:solidFill>
              <a:schemeClr val="bg1"/>
            </a:solidFill>
          </a:ln>
          <a:effectLst>
            <a:outerShdw blurRad="76200" dist="38100" dir="2700000" algn="tl" rotWithShape="0">
              <a:schemeClr val="tx1">
                <a:alpha val="39000"/>
              </a:schemeClr>
            </a:outerShdw>
          </a:effectLst>
        </c:spPr>
        <c:dLbl>
          <c:idx val="0"/>
          <c:layout>
            <c:manualLayout>
              <c:x val="0.18524920016592683"/>
              <c:y val="0.12058307370318533"/>
            </c:manualLayout>
          </c:layout>
          <c:tx>
            <c:rich>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mn-lt"/>
                    <a:ea typeface="+mn-ea"/>
                    <a:cs typeface="+mn-cs"/>
                  </a:defRPr>
                </a:pPr>
                <a:fld id="{58361AC4-06F3-447F-9EB4-C4D172DFC309}" type="PERCENTAGE">
                  <a:rPr lang="en-US" sz="750">
                    <a:solidFill>
                      <a:schemeClr val="tx1"/>
                    </a:solidFill>
                  </a:rPr>
                  <a:pPr>
                    <a:defRPr sz="700" b="1">
                      <a:solidFill>
                        <a:schemeClr val="tx1"/>
                      </a:solidFill>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layout>
                <c:manualLayout>
                  <c:w val="0.35347262286770514"/>
                  <c:h val="0.22862763620291451"/>
                </c:manualLayout>
              </c15:layout>
              <c15:dlblFieldTable/>
              <c15:showDataLabelsRange val="0"/>
            </c:ext>
          </c:extLst>
        </c:dLbl>
      </c:pivotFmt>
    </c:pivotFmts>
    <c:plotArea>
      <c:layout>
        <c:manualLayout>
          <c:layoutTarget val="inner"/>
          <c:xMode val="edge"/>
          <c:yMode val="edge"/>
          <c:x val="0.1293556538873441"/>
          <c:y val="0.11818544752622763"/>
          <c:w val="0.76678566957276173"/>
          <c:h val="0.79151908268132976"/>
        </c:manualLayout>
      </c:layout>
      <c:pieChart>
        <c:varyColors val="1"/>
        <c:ser>
          <c:idx val="0"/>
          <c:order val="0"/>
          <c:tx>
            <c:strRef>
              <c:f>'Pivot Report'!$B$67</c:f>
              <c:strCache>
                <c:ptCount val="1"/>
                <c:pt idx="0">
                  <c:v>Total</c:v>
                </c:pt>
              </c:strCache>
            </c:strRef>
          </c:tx>
          <c:spPr>
            <a:ln w="12700">
              <a:solidFill>
                <a:schemeClr val="bg1"/>
              </a:solidFill>
            </a:ln>
            <a:effectLst>
              <a:outerShdw blurRad="76200" dist="38100" dir="2700000" algn="tl" rotWithShape="0">
                <a:schemeClr val="tx1">
                  <a:alpha val="39000"/>
                </a:schemeClr>
              </a:outerShdw>
            </a:effectLst>
          </c:spPr>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12700">
                <a:solidFill>
                  <a:schemeClr val="bg1"/>
                </a:solidFill>
              </a:ln>
              <a:effectLst>
                <a:outerShdw blurRad="76200" dist="38100" dir="2700000" algn="tl" rotWithShape="0">
                  <a:schemeClr val="tx1">
                    <a:alpha val="39000"/>
                  </a:schemeClr>
                </a:outerShdw>
              </a:effectLst>
            </c:spPr>
            <c:extLst>
              <c:ext xmlns:c16="http://schemas.microsoft.com/office/drawing/2014/chart" uri="{C3380CC4-5D6E-409C-BE32-E72D297353CC}">
                <c16:uniqueId val="{00000001-4525-48F9-9563-80B1E00317B0}"/>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12700">
                <a:solidFill>
                  <a:schemeClr val="bg1"/>
                </a:solidFill>
              </a:ln>
              <a:effectLst>
                <a:outerShdw blurRad="76200" dist="38100" dir="2700000" algn="tl" rotWithShape="0">
                  <a:schemeClr val="tx1">
                    <a:alpha val="39000"/>
                  </a:schemeClr>
                </a:outerShdw>
              </a:effectLst>
            </c:spPr>
            <c:extLst>
              <c:ext xmlns:c16="http://schemas.microsoft.com/office/drawing/2014/chart" uri="{C3380CC4-5D6E-409C-BE32-E72D297353CC}">
                <c16:uniqueId val="{00000003-4525-48F9-9563-80B1E00317B0}"/>
              </c:ext>
            </c:extLst>
          </c:dPt>
          <c:dLbls>
            <c:dLbl>
              <c:idx val="0"/>
              <c:layout>
                <c:manualLayout>
                  <c:x val="-0.15449194444312001"/>
                  <c:y val="-0.10955857819453411"/>
                </c:manualLayout>
              </c:layout>
              <c:spPr>
                <a:noFill/>
                <a:ln>
                  <a:noFill/>
                </a:ln>
                <a:effectLst/>
              </c:spPr>
              <c:txPr>
                <a:bodyPr rot="0" spcFirstLastPara="1" vertOverflow="ellipsis" vert="horz" wrap="square" lIns="38100" tIns="19050" rIns="38100" bIns="19050" anchor="ctr" anchorCtr="1">
                  <a:noAutofit/>
                </a:bodyPr>
                <a:lstStyle/>
                <a:p>
                  <a:pPr>
                    <a:defRPr sz="75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8620391517388144"/>
                      <c:h val="0.19197580348128282"/>
                    </c:manualLayout>
                  </c15:layout>
                </c:ext>
                <c:ext xmlns:c16="http://schemas.microsoft.com/office/drawing/2014/chart" uri="{C3380CC4-5D6E-409C-BE32-E72D297353CC}">
                  <c16:uniqueId val="{00000001-4525-48F9-9563-80B1E00317B0}"/>
                </c:ext>
              </c:extLst>
            </c:dLbl>
            <c:dLbl>
              <c:idx val="1"/>
              <c:layout>
                <c:manualLayout>
                  <c:x val="0.18524920016592683"/>
                  <c:y val="0.12058307370318533"/>
                </c:manualLayout>
              </c:layout>
              <c:tx>
                <c:rich>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mn-lt"/>
                        <a:ea typeface="+mn-ea"/>
                        <a:cs typeface="+mn-cs"/>
                      </a:defRPr>
                    </a:pPr>
                    <a:fld id="{58361AC4-06F3-447F-9EB4-C4D172DFC309}" type="PERCENTAGE">
                      <a:rPr lang="en-US" sz="750">
                        <a:solidFill>
                          <a:schemeClr val="tx1"/>
                        </a:solidFill>
                      </a:rPr>
                      <a:pPr>
                        <a:defRPr sz="700" b="1">
                          <a:solidFill>
                            <a:schemeClr val="tx1"/>
                          </a:solidFill>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layout>
                    <c:manualLayout>
                      <c:w val="0.35347262286770514"/>
                      <c:h val="0.22862763620291451"/>
                    </c:manualLayout>
                  </c15:layout>
                  <c15:dlblFieldTable/>
                  <c15:showDataLabelsRange val="0"/>
                </c:ext>
                <c:ext xmlns:c16="http://schemas.microsoft.com/office/drawing/2014/chart" uri="{C3380CC4-5D6E-409C-BE32-E72D297353CC}">
                  <c16:uniqueId val="{00000003-4525-48F9-9563-80B1E00317B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Delay</c:v>
                </c:pt>
                <c:pt idx="1">
                  <c:v>Ontime</c:v>
                </c:pt>
              </c:strCache>
            </c:strRef>
          </c:cat>
          <c:val>
            <c:numRef>
              <c:f>'Pivot Report'!$B$68:$B$70</c:f>
              <c:numCache>
                <c:formatCode>0</c:formatCode>
                <c:ptCount val="2"/>
                <c:pt idx="0">
                  <c:v>316</c:v>
                </c:pt>
                <c:pt idx="1">
                  <c:v>197</c:v>
                </c:pt>
              </c:numCache>
            </c:numRef>
          </c:val>
          <c:extLst>
            <c:ext xmlns:c16="http://schemas.microsoft.com/office/drawing/2014/chart" uri="{C3380CC4-5D6E-409C-BE32-E72D297353CC}">
              <c16:uniqueId val="{0000000F-23E9-4792-96A4-9C09C7C7866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65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65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10127341349615759"/>
          <c:y val="1.9706217665628124E-3"/>
          <c:w val="0.77765382195495969"/>
          <c:h val="0.12187214519759197"/>
        </c:manualLayout>
      </c:layout>
      <c:overlay val="0"/>
      <c:spPr>
        <a:noFill/>
        <a:ln>
          <a:noFill/>
        </a:ln>
        <a:effectLst/>
      </c:spPr>
      <c:txPr>
        <a:bodyPr rot="0" spcFirstLastPara="1" vertOverflow="ellipsis" vert="horz" wrap="square" anchor="ctr" anchorCtr="1"/>
        <a:lstStyle/>
        <a:p>
          <a:pPr>
            <a:defRPr sz="6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EXCEL PROJECT 2.xlsx]Pivot Report!PivotTable11</c:name>
    <c:fmtId val="2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23660855988095333"/>
              <c:y val="-5.0761084698728802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22095156424812301"/>
              <c:y val="1.3415903201452794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22095156424812301"/>
              <c:y val="1.3415903201452794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23660855988095333"/>
              <c:y val="-5.0761084698728802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270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hade val="76000"/>
            </a:schemeClr>
          </a:solidFill>
          <a:ln w="12700">
            <a:solidFill>
              <a:schemeClr val="lt1"/>
            </a:solidFill>
          </a:ln>
          <a:effectLst>
            <a:outerShdw blurRad="50800" dist="38100" dir="2700000" algn="tl" rotWithShape="0">
              <a:prstClr val="black">
                <a:alpha val="40000"/>
              </a:prstClr>
            </a:outerShdw>
          </a:effectLst>
        </c:spPr>
        <c:dLbl>
          <c:idx val="0"/>
          <c:layout>
            <c:manualLayout>
              <c:x val="0"/>
              <c:y val="2.2609813371123173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649649965421193"/>
                  <c:h val="0.28228351993847284"/>
                </c:manualLayout>
              </c15:layout>
            </c:ext>
          </c:extLst>
        </c:dLbl>
      </c:pivotFmt>
      <c:pivotFmt>
        <c:idx val="8"/>
        <c:spPr>
          <a:solidFill>
            <a:schemeClr val="accent2">
              <a:tint val="77000"/>
            </a:schemeClr>
          </a:solidFill>
          <a:ln w="12700">
            <a:solidFill>
              <a:schemeClr val="lt1"/>
            </a:solidFill>
          </a:ln>
          <a:effectLst>
            <a:outerShdw blurRad="50800" dist="38100" dir="2700000" algn="tl" rotWithShape="0">
              <a:prstClr val="black">
                <a:alpha val="40000"/>
              </a:prstClr>
            </a:outerShdw>
          </a:effectLst>
        </c:spPr>
        <c:dLbl>
          <c:idx val="0"/>
          <c:layout>
            <c:manualLayout>
              <c:x val="4.3331836938042074E-7"/>
              <c:y val="-3.3914720056684812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46534579672508"/>
                  <c:h val="0.28228351993847284"/>
                </c:manualLayout>
              </c15:layout>
            </c:ext>
          </c:extLst>
        </c:dLbl>
      </c:pivotFmt>
    </c:pivotFmts>
    <c:plotArea>
      <c:layout>
        <c:manualLayout>
          <c:layoutTarget val="inner"/>
          <c:xMode val="edge"/>
          <c:yMode val="edge"/>
          <c:x val="0.18061408316079114"/>
          <c:y val="8.7108822935594604E-2"/>
          <c:w val="0.69155971914380931"/>
          <c:h val="0.88442411981770053"/>
        </c:manualLayout>
      </c:layout>
      <c:doughnutChart>
        <c:varyColors val="1"/>
        <c:ser>
          <c:idx val="0"/>
          <c:order val="0"/>
          <c:tx>
            <c:strRef>
              <c:f>'Pivot Report'!$B$74</c:f>
              <c:strCache>
                <c:ptCount val="1"/>
                <c:pt idx="0">
                  <c:v>Total</c:v>
                </c:pt>
              </c:strCache>
            </c:strRef>
          </c:tx>
          <c:spPr>
            <a:ln w="12700"/>
            <a:effectLst>
              <a:outerShdw blurRad="50800" dist="38100" dir="2700000" algn="tl" rotWithShape="0">
                <a:prstClr val="black">
                  <a:alpha val="40000"/>
                </a:prstClr>
              </a:outerShdw>
            </a:effectLst>
          </c:spPr>
          <c:dPt>
            <c:idx val="0"/>
            <c:bubble3D val="0"/>
            <c:spPr>
              <a:solidFill>
                <a:schemeClr val="accent2">
                  <a:shade val="76000"/>
                </a:schemeClr>
              </a:solidFill>
              <a:ln w="1270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5D9E-4CFD-BAB2-18B231E9C921}"/>
              </c:ext>
            </c:extLst>
          </c:dPt>
          <c:dPt>
            <c:idx val="1"/>
            <c:bubble3D val="0"/>
            <c:spPr>
              <a:solidFill>
                <a:schemeClr val="accent2">
                  <a:tint val="77000"/>
                </a:schemeClr>
              </a:solidFill>
              <a:ln w="1270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5D9E-4CFD-BAB2-18B231E9C921}"/>
              </c:ext>
            </c:extLst>
          </c:dPt>
          <c:dLbls>
            <c:dLbl>
              <c:idx val="0"/>
              <c:layout>
                <c:manualLayout>
                  <c:x val="0"/>
                  <c:y val="2.2609813371123173E-2"/>
                </c:manualLayout>
              </c:layout>
              <c:showLegendKey val="0"/>
              <c:showVal val="1"/>
              <c:showCatName val="0"/>
              <c:showSerName val="0"/>
              <c:showPercent val="0"/>
              <c:showBubbleSize val="0"/>
              <c:extLst>
                <c:ext xmlns:c15="http://schemas.microsoft.com/office/drawing/2012/chart" uri="{CE6537A1-D6FC-4f65-9D91-7224C49458BB}">
                  <c15:layout>
                    <c:manualLayout>
                      <c:w val="0.23649649965421193"/>
                      <c:h val="0.28228351993847284"/>
                    </c:manualLayout>
                  </c15:layout>
                </c:ext>
                <c:ext xmlns:c16="http://schemas.microsoft.com/office/drawing/2014/chart" uri="{C3380CC4-5D6E-409C-BE32-E72D297353CC}">
                  <c16:uniqueId val="{00000001-5D9E-4CFD-BAB2-18B231E9C921}"/>
                </c:ext>
              </c:extLst>
            </c:dLbl>
            <c:dLbl>
              <c:idx val="1"/>
              <c:layout>
                <c:manualLayout>
                  <c:x val="4.3331836938042074E-7"/>
                  <c:y val="-3.3914720056684812E-2"/>
                </c:manualLayout>
              </c:layout>
              <c:showLegendKey val="0"/>
              <c:showVal val="1"/>
              <c:showCatName val="0"/>
              <c:showSerName val="0"/>
              <c:showPercent val="0"/>
              <c:showBubbleSize val="0"/>
              <c:extLst>
                <c:ext xmlns:c15="http://schemas.microsoft.com/office/drawing/2012/chart" uri="{CE6537A1-D6FC-4f65-9D91-7224C49458BB}">
                  <c15:layout>
                    <c:manualLayout>
                      <c:w val="0.25446534579672508"/>
                      <c:h val="0.28228351993847284"/>
                    </c:manualLayout>
                  </c15:layout>
                </c:ext>
                <c:ext xmlns:c16="http://schemas.microsoft.com/office/drawing/2014/chart" uri="{C3380CC4-5D6E-409C-BE32-E72D297353CC}">
                  <c16:uniqueId val="{00000003-5D9E-4CFD-BAB2-18B231E9C921}"/>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Report'!$A$75:$A$77</c:f>
              <c:strCache>
                <c:ptCount val="2"/>
                <c:pt idx="0">
                  <c:v>Female</c:v>
                </c:pt>
                <c:pt idx="1">
                  <c:v>Male</c:v>
                </c:pt>
              </c:strCache>
            </c:strRef>
          </c:cat>
          <c:val>
            <c:numRef>
              <c:f>'Pivot Report'!$B$75:$B$77</c:f>
              <c:numCache>
                <c:formatCode>0</c:formatCode>
                <c:ptCount val="2"/>
                <c:pt idx="0">
                  <c:v>241</c:v>
                </c:pt>
                <c:pt idx="1">
                  <c:v>272</c:v>
                </c:pt>
              </c:numCache>
            </c:numRef>
          </c:val>
          <c:extLst>
            <c:ext xmlns:c16="http://schemas.microsoft.com/office/drawing/2014/chart" uri="{C3380CC4-5D6E-409C-BE32-E72D297353CC}">
              <c16:uniqueId val="{00000010-07DC-417C-9F42-BB2FC7547105}"/>
            </c:ext>
          </c:extLst>
        </c:ser>
        <c:dLbls>
          <c:showLegendKey val="0"/>
          <c:showVal val="0"/>
          <c:showCatName val="0"/>
          <c:showSerName val="0"/>
          <c:showPercent val="0"/>
          <c:showBubbleSize val="0"/>
          <c:showLeaderLines val="1"/>
        </c:dLbls>
        <c:firstSliceAng val="3"/>
        <c:holeSize val="50"/>
      </c:doughnutChart>
      <c:spPr>
        <a:noFill/>
        <a:ln>
          <a:noFill/>
        </a:ln>
        <a:effectLst/>
      </c:spPr>
    </c:plotArea>
    <c:legend>
      <c:legendPos val="r"/>
      <c:layout>
        <c:manualLayout>
          <c:xMode val="edge"/>
          <c:yMode val="edge"/>
          <c:x val="0.13629280703084867"/>
          <c:y val="1.1132142136079144E-2"/>
          <c:w val="0.70869612499159351"/>
          <c:h val="0.12682457291292099"/>
        </c:manualLayout>
      </c:layout>
      <c:overlay val="0"/>
      <c:spPr>
        <a:noFill/>
        <a:ln>
          <a:noFill/>
        </a:ln>
        <a:effectLst/>
      </c:spPr>
      <c:txPr>
        <a:bodyPr rot="0" spcFirstLastPara="1" vertOverflow="ellipsis" vert="horz" wrap="square" anchor="ctr" anchorCtr="1"/>
        <a:lstStyle/>
        <a:p>
          <a:pPr>
            <a:defRPr sz="6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 2.xlsx]Pivot Report!PivotTable8</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0800" dist="38100" dir="2700000" algn="tl" rotWithShape="0">
              <a:schemeClr val="tx1">
                <a:lumMod val="65000"/>
                <a:lumOff val="3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6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21029689610992"/>
          <c:y val="8.9842496414604123E-2"/>
          <c:w val="0.6233430568396916"/>
          <c:h val="0.82047824012909742"/>
        </c:manualLayout>
      </c:layout>
      <c:barChart>
        <c:barDir val="bar"/>
        <c:grouping val="clustered"/>
        <c:varyColors val="0"/>
        <c:ser>
          <c:idx val="0"/>
          <c:order val="0"/>
          <c:tx>
            <c:strRef>
              <c:f>'Pivot Report'!$B$81</c:f>
              <c:strCache>
                <c:ptCount val="1"/>
                <c:pt idx="0">
                  <c:v>Total</c:v>
                </c:pt>
              </c:strCache>
            </c:strRef>
          </c:tx>
          <c:spPr>
            <a:solidFill>
              <a:schemeClr val="accent1">
                <a:lumMod val="75000"/>
              </a:schemeClr>
            </a:solidFill>
            <a:ln>
              <a:noFill/>
            </a:ln>
            <a:effectLst>
              <a:outerShdw blurRad="50800" dist="38100" dir="2700000" algn="tl" rotWithShape="0">
                <a:schemeClr val="tx1">
                  <a:lumMod val="65000"/>
                  <a:lumOff val="35000"/>
                  <a:alpha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6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Report'!$A$82:$A$90</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Report'!$B$82:$B$90</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468B-4B2A-8E13-955E5FF23156}"/>
            </c:ext>
          </c:extLst>
        </c:ser>
        <c:dLbls>
          <c:showLegendKey val="0"/>
          <c:showVal val="0"/>
          <c:showCatName val="0"/>
          <c:showSerName val="0"/>
          <c:showPercent val="0"/>
          <c:showBubbleSize val="0"/>
        </c:dLbls>
        <c:gapWidth val="85"/>
        <c:axId val="122317999"/>
        <c:axId val="122338639"/>
      </c:barChart>
      <c:catAx>
        <c:axId val="12231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122338639"/>
        <c:crosses val="autoZero"/>
        <c:auto val="1"/>
        <c:lblAlgn val="ctr"/>
        <c:lblOffset val="100"/>
        <c:noMultiLvlLbl val="0"/>
      </c:catAx>
      <c:valAx>
        <c:axId val="122338639"/>
        <c:scaling>
          <c:orientation val="minMax"/>
        </c:scaling>
        <c:delete val="1"/>
        <c:axPos val="b"/>
        <c:numFmt formatCode="0" sourceLinked="1"/>
        <c:majorTickMark val="none"/>
        <c:minorTickMark val="none"/>
        <c:tickLblPos val="nextTo"/>
        <c:crossAx val="12231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EXCEL PROJECT 2.xlsx]Pivot Report!PivotTable6</c:name>
    <c:fmtId val="4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59531425759113E-2"/>
          <c:y val="8.4519405072840795E-2"/>
          <c:w val="0.94115289724248941"/>
          <c:h val="0.70938752871553445"/>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B-7479-4E51-83DD-757C68134C8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43398480"/>
        <c:axId val="543405200"/>
      </c:areaChart>
      <c:catAx>
        <c:axId val="543398480"/>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543405200"/>
        <c:crosses val="autoZero"/>
        <c:auto val="1"/>
        <c:lblAlgn val="ctr"/>
        <c:lblOffset val="100"/>
        <c:noMultiLvlLbl val="0"/>
      </c:catAx>
      <c:valAx>
        <c:axId val="543405200"/>
        <c:scaling>
          <c:orientation val="minMax"/>
        </c:scaling>
        <c:delete val="1"/>
        <c:axPos val="l"/>
        <c:numFmt formatCode="0.00" sourceLinked="1"/>
        <c:majorTickMark val="out"/>
        <c:minorTickMark val="none"/>
        <c:tickLblPos val="nextTo"/>
        <c:crossAx val="543398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6600"/>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EXCEL PROJECT 2.xlsx]Pivot Report!PivotTable5</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lef" panose="00000500000000000000" pitchFamily="2" charset="-79"/>
                  <a:ea typeface="+mn-ea"/>
                  <a:cs typeface="Alef" panose="00000500000000000000" pitchFamily="2" charset="-79"/>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s>
    <c:plotArea>
      <c:layout>
        <c:manualLayout>
          <c:layoutTarget val="inner"/>
          <c:xMode val="edge"/>
          <c:yMode val="edge"/>
          <c:x val="2.7045205005645591E-2"/>
          <c:y val="4.2217245569441911E-2"/>
          <c:w val="0.95593841840580862"/>
          <c:h val="0.72528363364823789"/>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lef" panose="00000500000000000000" pitchFamily="2" charset="-79"/>
                    <a:ea typeface="+mn-ea"/>
                    <a:cs typeface="Alef" panose="00000500000000000000" pitchFamily="2" charset="-79"/>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B-382F-4672-84F0-BE09E2BA1E0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69967327"/>
        <c:axId val="769969247"/>
      </c:areaChart>
      <c:catAx>
        <c:axId val="769967327"/>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69969247"/>
        <c:crosses val="autoZero"/>
        <c:auto val="1"/>
        <c:lblAlgn val="ctr"/>
        <c:lblOffset val="100"/>
        <c:noMultiLvlLbl val="0"/>
      </c:catAx>
      <c:valAx>
        <c:axId val="769969247"/>
        <c:scaling>
          <c:orientation val="minMax"/>
        </c:scaling>
        <c:delete val="1"/>
        <c:axPos val="l"/>
        <c:numFmt formatCode="0.00" sourceLinked="1"/>
        <c:majorTickMark val="out"/>
        <c:minorTickMark val="none"/>
        <c:tickLblPos val="nextTo"/>
        <c:crossAx val="7699673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EXCEL PROJECT 2.xlsx]Pivot Report!PivotTable1</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lef" panose="00000500000000000000" pitchFamily="2" charset="-79"/>
                  <a:ea typeface="+mn-ea"/>
                  <a:cs typeface="Alef" panose="00000500000000000000" pitchFamily="2" charset="-79"/>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33467214241021E-2"/>
          <c:y val="3.4960133333102571E-3"/>
          <c:w val="0.9336354666719584"/>
          <c:h val="0.77254175894380739"/>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lef" panose="00000500000000000000" pitchFamily="2" charset="-79"/>
                    <a:ea typeface="+mn-ea"/>
                    <a:cs typeface="Alef" panose="00000500000000000000" pitchFamily="2" charset="-79"/>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B-01BD-4E49-A267-78EC3323B90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24535536"/>
        <c:axId val="1924536496"/>
      </c:areaChart>
      <c:catAx>
        <c:axId val="19245355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1924536496"/>
        <c:crosses val="autoZero"/>
        <c:auto val="1"/>
        <c:lblAlgn val="ctr"/>
        <c:lblOffset val="100"/>
        <c:noMultiLvlLbl val="0"/>
      </c:catAx>
      <c:valAx>
        <c:axId val="1924536496"/>
        <c:scaling>
          <c:orientation val="minMax"/>
        </c:scaling>
        <c:delete val="1"/>
        <c:axPos val="l"/>
        <c:numFmt formatCode="General" sourceLinked="1"/>
        <c:majorTickMark val="out"/>
        <c:minorTickMark val="none"/>
        <c:tickLblPos val="nextTo"/>
        <c:crossAx val="1924535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Satisfaction score daily trend'!A1"/><Relationship Id="rId17" Type="http://schemas.openxmlformats.org/officeDocument/2006/relationships/chart" Target="../charts/chart8.xml"/><Relationship Id="rId2" Type="http://schemas.openxmlformats.org/officeDocument/2006/relationships/hyperlink" Target="#'Daily ER No. of patients'!A1"/><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chart" Target="../charts/chart6.xml"/><Relationship Id="rId10" Type="http://schemas.openxmlformats.org/officeDocument/2006/relationships/hyperlink" Target="#'Average wait time daily trend'!A1"/><Relationship Id="rId4" Type="http://schemas.openxmlformats.org/officeDocument/2006/relationships/image" Target="../media/image3.svg"/><Relationship Id="rId9" Type="http://schemas.openxmlformats.org/officeDocument/2006/relationships/chart" Target="../charts/chart3.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45</xdr:row>
      <xdr:rowOff>180340</xdr:rowOff>
    </xdr:from>
    <xdr:to>
      <xdr:col>0</xdr:col>
      <xdr:colOff>0</xdr:colOff>
      <xdr:row>48</xdr:row>
      <xdr:rowOff>167640</xdr:rowOff>
    </xdr:to>
    <xdr:graphicFrame macro="">
      <xdr:nvGraphicFramePr>
        <xdr:cNvPr id="2" name="Chart 1">
          <a:extLst>
            <a:ext uri="{FF2B5EF4-FFF2-40B4-BE49-F238E27FC236}">
              <a16:creationId xmlns:a16="http://schemas.microsoft.com/office/drawing/2014/main" id="{7240BC5B-8BCD-8AB6-CA90-26695F766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5860</xdr:colOff>
      <xdr:row>44</xdr:row>
      <xdr:rowOff>162560</xdr:rowOff>
    </xdr:from>
    <xdr:to>
      <xdr:col>4</xdr:col>
      <xdr:colOff>96519</xdr:colOff>
      <xdr:row>48</xdr:row>
      <xdr:rowOff>106680</xdr:rowOff>
    </xdr:to>
    <xdr:graphicFrame macro="">
      <xdr:nvGraphicFramePr>
        <xdr:cNvPr id="3" name="Chart 2">
          <a:extLst>
            <a:ext uri="{FF2B5EF4-FFF2-40B4-BE49-F238E27FC236}">
              <a16:creationId xmlns:a16="http://schemas.microsoft.com/office/drawing/2014/main" id="{F4710DD1-6163-4F64-4D07-6DD05634D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60961</xdr:colOff>
      <xdr:row>0</xdr:row>
      <xdr:rowOff>56606</xdr:rowOff>
    </xdr:from>
    <xdr:to>
      <xdr:col>5</xdr:col>
      <xdr:colOff>209007</xdr:colOff>
      <xdr:row>3</xdr:row>
      <xdr:rowOff>8709</xdr:rowOff>
    </xdr:to>
    <xdr:sp macro="" textlink="">
      <xdr:nvSpPr>
        <xdr:cNvPr id="2" name="Rectangle: Rounded Corners 1">
          <a:extLst>
            <a:ext uri="{FF2B5EF4-FFF2-40B4-BE49-F238E27FC236}">
              <a16:creationId xmlns:a16="http://schemas.microsoft.com/office/drawing/2014/main" id="{01B74DD0-6424-ECB9-81AB-F8F102392B1B}"/>
            </a:ext>
          </a:extLst>
        </xdr:cNvPr>
        <xdr:cNvSpPr/>
      </xdr:nvSpPr>
      <xdr:spPr>
        <a:xfrm>
          <a:off x="60961" y="56606"/>
          <a:ext cx="3196046" cy="50074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256903</xdr:colOff>
      <xdr:row>0</xdr:row>
      <xdr:rowOff>52251</xdr:rowOff>
    </xdr:from>
    <xdr:to>
      <xdr:col>6</xdr:col>
      <xdr:colOff>609599</xdr:colOff>
      <xdr:row>3</xdr:row>
      <xdr:rowOff>4354</xdr:rowOff>
    </xdr:to>
    <xdr:sp macro="" textlink="">
      <xdr:nvSpPr>
        <xdr:cNvPr id="3" name="Rectangle: Rounded Corners 2">
          <a:extLst>
            <a:ext uri="{FF2B5EF4-FFF2-40B4-BE49-F238E27FC236}">
              <a16:creationId xmlns:a16="http://schemas.microsoft.com/office/drawing/2014/main" id="{5E2C04D1-CD8A-4DB1-EBE9-47E82C370656}"/>
            </a:ext>
          </a:extLst>
        </xdr:cNvPr>
        <xdr:cNvSpPr/>
      </xdr:nvSpPr>
      <xdr:spPr>
        <a:xfrm>
          <a:off x="3304903" y="52251"/>
          <a:ext cx="962296" cy="50074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60961</xdr:colOff>
      <xdr:row>0</xdr:row>
      <xdr:rowOff>47896</xdr:rowOff>
    </xdr:from>
    <xdr:to>
      <xdr:col>9</xdr:col>
      <xdr:colOff>174171</xdr:colOff>
      <xdr:row>7</xdr:row>
      <xdr:rowOff>4353</xdr:rowOff>
    </xdr:to>
    <xdr:sp macro="" textlink="">
      <xdr:nvSpPr>
        <xdr:cNvPr id="4" name="Rectangle: Rounded Corners 3">
          <a:extLst>
            <a:ext uri="{FF2B5EF4-FFF2-40B4-BE49-F238E27FC236}">
              <a16:creationId xmlns:a16="http://schemas.microsoft.com/office/drawing/2014/main" id="{ECDB0E3C-3FD3-DE5D-ECF3-0276A883A9E5}"/>
            </a:ext>
          </a:extLst>
        </xdr:cNvPr>
        <xdr:cNvSpPr/>
      </xdr:nvSpPr>
      <xdr:spPr>
        <a:xfrm>
          <a:off x="4328161" y="47896"/>
          <a:ext cx="1332410" cy="1236617"/>
        </a:xfrm>
        <a:prstGeom prst="roundRect">
          <a:avLst>
            <a:gd name="adj" fmla="val 564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230776</xdr:colOff>
      <xdr:row>0</xdr:row>
      <xdr:rowOff>47897</xdr:rowOff>
    </xdr:from>
    <xdr:to>
      <xdr:col>11</xdr:col>
      <xdr:colOff>317861</xdr:colOff>
      <xdr:row>7</xdr:row>
      <xdr:rowOff>4354</xdr:rowOff>
    </xdr:to>
    <xdr:sp macro="" textlink="">
      <xdr:nvSpPr>
        <xdr:cNvPr id="5" name="Rectangle: Rounded Corners 4">
          <a:extLst>
            <a:ext uri="{FF2B5EF4-FFF2-40B4-BE49-F238E27FC236}">
              <a16:creationId xmlns:a16="http://schemas.microsoft.com/office/drawing/2014/main" id="{C6F4A21C-EA07-6174-C0F7-AA1DBE5D2304}"/>
            </a:ext>
          </a:extLst>
        </xdr:cNvPr>
        <xdr:cNvSpPr/>
      </xdr:nvSpPr>
      <xdr:spPr>
        <a:xfrm>
          <a:off x="5717176" y="47897"/>
          <a:ext cx="1306285" cy="1236617"/>
        </a:xfrm>
        <a:prstGeom prst="roundRect">
          <a:avLst>
            <a:gd name="adj" fmla="val 564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56605</xdr:colOff>
      <xdr:row>3</xdr:row>
      <xdr:rowOff>65314</xdr:rowOff>
    </xdr:from>
    <xdr:to>
      <xdr:col>1</xdr:col>
      <xdr:colOff>95794</xdr:colOff>
      <xdr:row>15</xdr:row>
      <xdr:rowOff>69668</xdr:rowOff>
    </xdr:to>
    <xdr:sp macro="" textlink="">
      <xdr:nvSpPr>
        <xdr:cNvPr id="6" name="Rectangle: Rounded Corners 5">
          <a:extLst>
            <a:ext uri="{FF2B5EF4-FFF2-40B4-BE49-F238E27FC236}">
              <a16:creationId xmlns:a16="http://schemas.microsoft.com/office/drawing/2014/main" id="{B54E4770-7175-3907-3192-B83EBF74EE09}"/>
            </a:ext>
          </a:extLst>
        </xdr:cNvPr>
        <xdr:cNvSpPr/>
      </xdr:nvSpPr>
      <xdr:spPr>
        <a:xfrm>
          <a:off x="56605" y="613954"/>
          <a:ext cx="648789" cy="2207623"/>
        </a:xfrm>
        <a:prstGeom prst="roundRect">
          <a:avLst>
            <a:gd name="adj" fmla="val 86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187238</xdr:colOff>
      <xdr:row>3</xdr:row>
      <xdr:rowOff>21770</xdr:rowOff>
    </xdr:from>
    <xdr:to>
      <xdr:col>22</xdr:col>
      <xdr:colOff>47901</xdr:colOff>
      <xdr:row>6</xdr:row>
      <xdr:rowOff>178523</xdr:rowOff>
    </xdr:to>
    <xdr:sp macro="" textlink="">
      <xdr:nvSpPr>
        <xdr:cNvPr id="13" name="Rectangle: Rounded Corners 12">
          <a:extLst>
            <a:ext uri="{FF2B5EF4-FFF2-40B4-BE49-F238E27FC236}">
              <a16:creationId xmlns:a16="http://schemas.microsoft.com/office/drawing/2014/main" id="{C293DF0B-F50E-06CA-C633-9247D7F0C643}"/>
            </a:ext>
          </a:extLst>
        </xdr:cNvPr>
        <xdr:cNvSpPr/>
      </xdr:nvSpPr>
      <xdr:spPr>
        <a:xfrm>
          <a:off x="12379238" y="570410"/>
          <a:ext cx="1079863" cy="705393"/>
        </a:xfrm>
        <a:prstGeom prst="roundRect">
          <a:avLst>
            <a:gd name="adj" fmla="val 86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169817</xdr:colOff>
      <xdr:row>3</xdr:row>
      <xdr:rowOff>69670</xdr:rowOff>
    </xdr:from>
    <xdr:to>
      <xdr:col>3</xdr:col>
      <xdr:colOff>67349</xdr:colOff>
      <xdr:row>7</xdr:row>
      <xdr:rowOff>113211</xdr:rowOff>
    </xdr:to>
    <xdr:sp macro="" textlink="">
      <xdr:nvSpPr>
        <xdr:cNvPr id="7" name="Rectangle: Rounded Corners 6">
          <a:extLst>
            <a:ext uri="{FF2B5EF4-FFF2-40B4-BE49-F238E27FC236}">
              <a16:creationId xmlns:a16="http://schemas.microsoft.com/office/drawing/2014/main" id="{2EC253AD-7BE9-6298-7A1B-3A5CB71AB396}"/>
            </a:ext>
          </a:extLst>
        </xdr:cNvPr>
        <xdr:cNvSpPr/>
      </xdr:nvSpPr>
      <xdr:spPr>
        <a:xfrm>
          <a:off x="779417" y="618310"/>
          <a:ext cx="1116732" cy="775061"/>
        </a:xfrm>
        <a:prstGeom prst="roundRect">
          <a:avLst>
            <a:gd name="adj" fmla="val 86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131788</xdr:colOff>
      <xdr:row>3</xdr:row>
      <xdr:rowOff>69670</xdr:rowOff>
    </xdr:from>
    <xdr:to>
      <xdr:col>5</xdr:col>
      <xdr:colOff>29320</xdr:colOff>
      <xdr:row>7</xdr:row>
      <xdr:rowOff>113211</xdr:rowOff>
    </xdr:to>
    <xdr:sp macro="" textlink="">
      <xdr:nvSpPr>
        <xdr:cNvPr id="16" name="Rectangle: Rounded Corners 15">
          <a:extLst>
            <a:ext uri="{FF2B5EF4-FFF2-40B4-BE49-F238E27FC236}">
              <a16:creationId xmlns:a16="http://schemas.microsoft.com/office/drawing/2014/main" id="{186C26E6-56D2-5A72-A7EC-4EEF19BADD93}"/>
            </a:ext>
          </a:extLst>
        </xdr:cNvPr>
        <xdr:cNvSpPr/>
      </xdr:nvSpPr>
      <xdr:spPr>
        <a:xfrm>
          <a:off x="1960588" y="618310"/>
          <a:ext cx="1116732" cy="775061"/>
        </a:xfrm>
        <a:prstGeom prst="roundRect">
          <a:avLst>
            <a:gd name="adj" fmla="val 86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98113</xdr:colOff>
      <xdr:row>3</xdr:row>
      <xdr:rowOff>74024</xdr:rowOff>
    </xdr:from>
    <xdr:to>
      <xdr:col>6</xdr:col>
      <xdr:colOff>605245</xdr:colOff>
      <xdr:row>7</xdr:row>
      <xdr:rowOff>117565</xdr:rowOff>
    </xdr:to>
    <xdr:sp macro="" textlink="">
      <xdr:nvSpPr>
        <xdr:cNvPr id="17" name="Rectangle: Rounded Corners 16">
          <a:extLst>
            <a:ext uri="{FF2B5EF4-FFF2-40B4-BE49-F238E27FC236}">
              <a16:creationId xmlns:a16="http://schemas.microsoft.com/office/drawing/2014/main" id="{E230B5A9-CCBF-0CF3-28B9-E036134A2E8E}"/>
            </a:ext>
          </a:extLst>
        </xdr:cNvPr>
        <xdr:cNvSpPr/>
      </xdr:nvSpPr>
      <xdr:spPr>
        <a:xfrm>
          <a:off x="3146113" y="622664"/>
          <a:ext cx="1116732" cy="775061"/>
        </a:xfrm>
        <a:prstGeom prst="roundRect">
          <a:avLst>
            <a:gd name="adj" fmla="val 86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174171</xdr:colOff>
      <xdr:row>10</xdr:row>
      <xdr:rowOff>52251</xdr:rowOff>
    </xdr:from>
    <xdr:to>
      <xdr:col>6</xdr:col>
      <xdr:colOff>609599</xdr:colOff>
      <xdr:row>15</xdr:row>
      <xdr:rowOff>60960</xdr:rowOff>
    </xdr:to>
    <xdr:sp macro="" textlink="">
      <xdr:nvSpPr>
        <xdr:cNvPr id="19" name="Rectangle: Rounded Corners 18">
          <a:extLst>
            <a:ext uri="{FF2B5EF4-FFF2-40B4-BE49-F238E27FC236}">
              <a16:creationId xmlns:a16="http://schemas.microsoft.com/office/drawing/2014/main" id="{57D20264-994D-9F02-7A75-4927CA2D517D}"/>
            </a:ext>
          </a:extLst>
        </xdr:cNvPr>
        <xdr:cNvSpPr/>
      </xdr:nvSpPr>
      <xdr:spPr>
        <a:xfrm>
          <a:off x="783771" y="1881051"/>
          <a:ext cx="3483428" cy="931818"/>
        </a:xfrm>
        <a:prstGeom prst="roundRect">
          <a:avLst>
            <a:gd name="adj" fmla="val 86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65314</xdr:colOff>
      <xdr:row>7</xdr:row>
      <xdr:rowOff>74022</xdr:rowOff>
    </xdr:from>
    <xdr:to>
      <xdr:col>11</xdr:col>
      <xdr:colOff>322217</xdr:colOff>
      <xdr:row>15</xdr:row>
      <xdr:rowOff>69668</xdr:rowOff>
    </xdr:to>
    <xdr:sp macro="" textlink="">
      <xdr:nvSpPr>
        <xdr:cNvPr id="32" name="Rectangle: Rounded Corners 31">
          <a:extLst>
            <a:ext uri="{FF2B5EF4-FFF2-40B4-BE49-F238E27FC236}">
              <a16:creationId xmlns:a16="http://schemas.microsoft.com/office/drawing/2014/main" id="{DD7B922A-79B8-37AA-CF8E-D34C60472193}"/>
            </a:ext>
          </a:extLst>
        </xdr:cNvPr>
        <xdr:cNvSpPr/>
      </xdr:nvSpPr>
      <xdr:spPr>
        <a:xfrm>
          <a:off x="4332514" y="1354182"/>
          <a:ext cx="2695303" cy="1467395"/>
        </a:xfrm>
        <a:prstGeom prst="roundRect">
          <a:avLst>
            <a:gd name="adj" fmla="val 564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168864</xdr:colOff>
      <xdr:row>0</xdr:row>
      <xdr:rowOff>157842</xdr:rowOff>
    </xdr:from>
    <xdr:to>
      <xdr:col>5</xdr:col>
      <xdr:colOff>424544</xdr:colOff>
      <xdr:row>3</xdr:row>
      <xdr:rowOff>22452</xdr:rowOff>
    </xdr:to>
    <xdr:sp macro="" textlink="">
      <xdr:nvSpPr>
        <xdr:cNvPr id="33" name="TextBox 32">
          <a:extLst>
            <a:ext uri="{FF2B5EF4-FFF2-40B4-BE49-F238E27FC236}">
              <a16:creationId xmlns:a16="http://schemas.microsoft.com/office/drawing/2014/main" id="{61772F88-AA19-A858-4AD1-2EB852FE388B}"/>
            </a:ext>
          </a:extLst>
        </xdr:cNvPr>
        <xdr:cNvSpPr txBox="1"/>
      </xdr:nvSpPr>
      <xdr:spPr>
        <a:xfrm>
          <a:off x="778464" y="157842"/>
          <a:ext cx="2694080" cy="407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100" b="1">
              <a:solidFill>
                <a:schemeClr val="accent5">
                  <a:lumMod val="50000"/>
                </a:schemeClr>
              </a:solidFill>
            </a:rPr>
            <a:t>Elderly Emergency Patients Face Higher Delays Due to Long Waiting Times.</a:t>
          </a:r>
        </a:p>
      </xdr:txBody>
    </xdr:sp>
    <xdr:clientData/>
  </xdr:twoCellAnchor>
  <xdr:twoCellAnchor editAs="oneCell">
    <xdr:from>
      <xdr:col>0</xdr:col>
      <xdr:colOff>95795</xdr:colOff>
      <xdr:row>0</xdr:row>
      <xdr:rowOff>74714</xdr:rowOff>
    </xdr:from>
    <xdr:to>
      <xdr:col>1</xdr:col>
      <xdr:colOff>52251</xdr:colOff>
      <xdr:row>3</xdr:row>
      <xdr:rowOff>8710</xdr:rowOff>
    </xdr:to>
    <xdr:pic>
      <xdr:nvPicPr>
        <xdr:cNvPr id="35" name="Picture 34">
          <a:extLst>
            <a:ext uri="{FF2B5EF4-FFF2-40B4-BE49-F238E27FC236}">
              <a16:creationId xmlns:a16="http://schemas.microsoft.com/office/drawing/2014/main" id="{1C3820C3-C431-9DCF-8A9F-3C2FBD1FA83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036" t="10893" r="21386" b="8909"/>
        <a:stretch>
          <a:fillRect/>
        </a:stretch>
      </xdr:blipFill>
      <xdr:spPr>
        <a:xfrm>
          <a:off x="95795" y="74714"/>
          <a:ext cx="566056" cy="482636"/>
        </a:xfrm>
        <a:prstGeom prst="rect">
          <a:avLst/>
        </a:prstGeom>
        <a:solidFill>
          <a:schemeClr val="bg1"/>
        </a:solidFill>
      </xdr:spPr>
    </xdr:pic>
    <xdr:clientData/>
  </xdr:twoCellAnchor>
  <xdr:twoCellAnchor editAs="absolute">
    <xdr:from>
      <xdr:col>1</xdr:col>
      <xdr:colOff>82732</xdr:colOff>
      <xdr:row>4</xdr:row>
      <xdr:rowOff>91439</xdr:rowOff>
    </xdr:from>
    <xdr:to>
      <xdr:col>3</xdr:col>
      <xdr:colOff>174171</xdr:colOff>
      <xdr:row>5</xdr:row>
      <xdr:rowOff>134982</xdr:rowOff>
    </xdr:to>
    <xdr:sp macro="" textlink="">
      <xdr:nvSpPr>
        <xdr:cNvPr id="37" name="TextBox 36">
          <a:extLst>
            <a:ext uri="{FF2B5EF4-FFF2-40B4-BE49-F238E27FC236}">
              <a16:creationId xmlns:a16="http://schemas.microsoft.com/office/drawing/2014/main" id="{9773BF2C-4820-2795-626F-509E879AE222}"/>
            </a:ext>
          </a:extLst>
        </xdr:cNvPr>
        <xdr:cNvSpPr txBox="1"/>
      </xdr:nvSpPr>
      <xdr:spPr>
        <a:xfrm>
          <a:off x="692332" y="822959"/>
          <a:ext cx="1310639"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Patients</a:t>
          </a:r>
          <a:endParaRPr lang="en-IN" sz="800"/>
        </a:p>
      </xdr:txBody>
    </xdr:sp>
    <xdr:clientData/>
  </xdr:twoCellAnchor>
  <xdr:twoCellAnchor editAs="absolute">
    <xdr:from>
      <xdr:col>1</xdr:col>
      <xdr:colOff>69670</xdr:colOff>
      <xdr:row>3</xdr:row>
      <xdr:rowOff>126275</xdr:rowOff>
    </xdr:from>
    <xdr:to>
      <xdr:col>3</xdr:col>
      <xdr:colOff>161109</xdr:colOff>
      <xdr:row>4</xdr:row>
      <xdr:rowOff>169818</xdr:rowOff>
    </xdr:to>
    <xdr:sp macro="" textlink="'Pivot Report'!A5">
      <xdr:nvSpPr>
        <xdr:cNvPr id="38" name="TextBox 37">
          <a:hlinkClick xmlns:r="http://schemas.openxmlformats.org/officeDocument/2006/relationships" r:id="rId2"/>
          <a:extLst>
            <a:ext uri="{FF2B5EF4-FFF2-40B4-BE49-F238E27FC236}">
              <a16:creationId xmlns:a16="http://schemas.microsoft.com/office/drawing/2014/main" id="{F6BEA5DE-6FBE-370A-5DEE-A151E7257266}"/>
            </a:ext>
          </a:extLst>
        </xdr:cNvPr>
        <xdr:cNvSpPr txBox="1"/>
      </xdr:nvSpPr>
      <xdr:spPr>
        <a:xfrm>
          <a:off x="679270" y="674915"/>
          <a:ext cx="1310639"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4E074EF-4FB6-4FDD-9D34-BF8627D71B67}" type="TxLink">
            <a:rPr lang="en-US" sz="1000" b="1" i="0" u="none" strike="noStrike">
              <a:solidFill>
                <a:srgbClr val="000000"/>
              </a:solidFill>
              <a:latin typeface="Calibri"/>
              <a:ea typeface="Calibri"/>
              <a:cs typeface="Calibri"/>
            </a:rPr>
            <a:pPr algn="ctr"/>
            <a:t>513</a:t>
          </a:fld>
          <a:endParaRPr lang="en-IN" sz="1000" b="1"/>
        </a:p>
      </xdr:txBody>
    </xdr:sp>
    <xdr:clientData/>
  </xdr:twoCellAnchor>
  <xdr:twoCellAnchor editAs="absolute">
    <xdr:from>
      <xdr:col>2</xdr:col>
      <xdr:colOff>592184</xdr:colOff>
      <xdr:row>4</xdr:row>
      <xdr:rowOff>100149</xdr:rowOff>
    </xdr:from>
    <xdr:to>
      <xdr:col>5</xdr:col>
      <xdr:colOff>209006</xdr:colOff>
      <xdr:row>5</xdr:row>
      <xdr:rowOff>143692</xdr:rowOff>
    </xdr:to>
    <xdr:sp macro="" textlink="">
      <xdr:nvSpPr>
        <xdr:cNvPr id="39" name="TextBox 38">
          <a:extLst>
            <a:ext uri="{FF2B5EF4-FFF2-40B4-BE49-F238E27FC236}">
              <a16:creationId xmlns:a16="http://schemas.microsoft.com/office/drawing/2014/main" id="{C88D1101-ABFE-79A6-0C6F-D4EE57F517BE}"/>
            </a:ext>
          </a:extLst>
        </xdr:cNvPr>
        <xdr:cNvSpPr txBox="1"/>
      </xdr:nvSpPr>
      <xdr:spPr>
        <a:xfrm>
          <a:off x="1811384" y="831669"/>
          <a:ext cx="1445622"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a:t>
          </a:r>
          <a:r>
            <a:rPr lang="en-IN" sz="800" baseline="0"/>
            <a:t> Wait Time</a:t>
          </a:r>
          <a:endParaRPr lang="en-IN" sz="800"/>
        </a:p>
      </xdr:txBody>
    </xdr:sp>
    <xdr:clientData/>
  </xdr:twoCellAnchor>
  <xdr:twoCellAnchor editAs="absolute">
    <xdr:from>
      <xdr:col>2</xdr:col>
      <xdr:colOff>570411</xdr:colOff>
      <xdr:row>3</xdr:row>
      <xdr:rowOff>117566</xdr:rowOff>
    </xdr:from>
    <xdr:to>
      <xdr:col>5</xdr:col>
      <xdr:colOff>217714</xdr:colOff>
      <xdr:row>4</xdr:row>
      <xdr:rowOff>161109</xdr:rowOff>
    </xdr:to>
    <xdr:sp macro="" textlink="'Pivot Report'!A9">
      <xdr:nvSpPr>
        <xdr:cNvPr id="40" name="TextBox 39">
          <a:extLst>
            <a:ext uri="{FF2B5EF4-FFF2-40B4-BE49-F238E27FC236}">
              <a16:creationId xmlns:a16="http://schemas.microsoft.com/office/drawing/2014/main" id="{E48FC593-9AF8-46BE-4B6D-F63A2BC7F9CA}"/>
            </a:ext>
          </a:extLst>
        </xdr:cNvPr>
        <xdr:cNvSpPr txBox="1"/>
      </xdr:nvSpPr>
      <xdr:spPr>
        <a:xfrm>
          <a:off x="1789611" y="666206"/>
          <a:ext cx="1476103"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24E213A-1A75-4986-BF12-4C1F1062BEE8}" type="TxLink">
            <a:rPr lang="en-US" sz="1000" b="1" i="0" u="none" strike="noStrike">
              <a:solidFill>
                <a:srgbClr val="000000"/>
              </a:solidFill>
              <a:latin typeface="Calibri"/>
              <a:ea typeface="Calibri"/>
              <a:cs typeface="Calibri"/>
            </a:rPr>
            <a:pPr algn="ctr"/>
            <a:t>36.32</a:t>
          </a:fld>
          <a:endParaRPr lang="en-IN" sz="1000" b="1"/>
        </a:p>
      </xdr:txBody>
    </xdr:sp>
    <xdr:clientData/>
  </xdr:twoCellAnchor>
  <xdr:twoCellAnchor editAs="absolute">
    <xdr:from>
      <xdr:col>4</xdr:col>
      <xdr:colOff>452846</xdr:colOff>
      <xdr:row>4</xdr:row>
      <xdr:rowOff>104501</xdr:rowOff>
    </xdr:from>
    <xdr:to>
      <xdr:col>7</xdr:col>
      <xdr:colOff>269966</xdr:colOff>
      <xdr:row>6</xdr:row>
      <xdr:rowOff>21771</xdr:rowOff>
    </xdr:to>
    <xdr:sp macro="" textlink="">
      <xdr:nvSpPr>
        <xdr:cNvPr id="41" name="TextBox 40">
          <a:extLst>
            <a:ext uri="{FF2B5EF4-FFF2-40B4-BE49-F238E27FC236}">
              <a16:creationId xmlns:a16="http://schemas.microsoft.com/office/drawing/2014/main" id="{E304AB30-B387-93BA-A5D2-AA3BE37D7EBB}"/>
            </a:ext>
          </a:extLst>
        </xdr:cNvPr>
        <xdr:cNvSpPr txBox="1"/>
      </xdr:nvSpPr>
      <xdr:spPr>
        <a:xfrm>
          <a:off x="2891246" y="844730"/>
          <a:ext cx="1645920" cy="287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Satsfaction Score </a:t>
          </a:r>
        </a:p>
        <a:p>
          <a:pPr algn="ctr"/>
          <a:r>
            <a:rPr lang="en-IN" sz="800" baseline="0"/>
            <a:t>(out of 10)</a:t>
          </a:r>
        </a:p>
        <a:p>
          <a:pPr algn="ctr"/>
          <a:endParaRPr lang="en-IN" sz="800"/>
        </a:p>
      </xdr:txBody>
    </xdr:sp>
    <xdr:clientData/>
  </xdr:twoCellAnchor>
  <xdr:twoCellAnchor editAs="absolute">
    <xdr:from>
      <xdr:col>5</xdr:col>
      <xdr:colOff>4355</xdr:colOff>
      <xdr:row>3</xdr:row>
      <xdr:rowOff>134983</xdr:rowOff>
    </xdr:from>
    <xdr:to>
      <xdr:col>7</xdr:col>
      <xdr:colOff>95794</xdr:colOff>
      <xdr:row>4</xdr:row>
      <xdr:rowOff>178526</xdr:rowOff>
    </xdr:to>
    <xdr:sp macro="" textlink="'Pivot Report'!A13">
      <xdr:nvSpPr>
        <xdr:cNvPr id="42" name="TextBox 41">
          <a:extLst>
            <a:ext uri="{FF2B5EF4-FFF2-40B4-BE49-F238E27FC236}">
              <a16:creationId xmlns:a16="http://schemas.microsoft.com/office/drawing/2014/main" id="{78B03D83-D4E3-7A59-D09F-4EC3DC5347F9}"/>
            </a:ext>
          </a:extLst>
        </xdr:cNvPr>
        <xdr:cNvSpPr txBox="1"/>
      </xdr:nvSpPr>
      <xdr:spPr>
        <a:xfrm>
          <a:off x="3052355" y="683623"/>
          <a:ext cx="1310639"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F6FB61D-D48E-4E27-8ECE-DF6B1EF3090F}" type="TxLink">
            <a:rPr lang="en-US" sz="1000" b="1" i="0" u="none" strike="noStrike">
              <a:solidFill>
                <a:srgbClr val="000000"/>
              </a:solidFill>
              <a:latin typeface="Calibri"/>
              <a:ea typeface="Calibri"/>
              <a:cs typeface="Calibri"/>
            </a:rPr>
            <a:pPr algn="ctr"/>
            <a:t>4.96</a:t>
          </a:fld>
          <a:endParaRPr lang="en-IN" sz="1000" b="1"/>
        </a:p>
      </xdr:txBody>
    </xdr:sp>
    <xdr:clientData/>
  </xdr:twoCellAnchor>
  <xdr:twoCellAnchor editAs="oneCell">
    <xdr:from>
      <xdr:col>2</xdr:col>
      <xdr:colOff>439783</xdr:colOff>
      <xdr:row>3</xdr:row>
      <xdr:rowOff>82731</xdr:rowOff>
    </xdr:from>
    <xdr:to>
      <xdr:col>3</xdr:col>
      <xdr:colOff>30481</xdr:colOff>
      <xdr:row>4</xdr:row>
      <xdr:rowOff>100149</xdr:rowOff>
    </xdr:to>
    <xdr:pic>
      <xdr:nvPicPr>
        <xdr:cNvPr id="44" name="Graphic 43" descr="Male profile">
          <a:extLst>
            <a:ext uri="{FF2B5EF4-FFF2-40B4-BE49-F238E27FC236}">
              <a16:creationId xmlns:a16="http://schemas.microsoft.com/office/drawing/2014/main" id="{06F0595E-7080-4174-DC46-685F1A995C9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58983" y="631371"/>
          <a:ext cx="200298" cy="200298"/>
        </a:xfrm>
        <a:prstGeom prst="rect">
          <a:avLst/>
        </a:prstGeom>
        <a:effectLst>
          <a:glow rad="63500">
            <a:schemeClr val="accent1">
              <a:lumMod val="75000"/>
              <a:alpha val="15000"/>
            </a:schemeClr>
          </a:glow>
        </a:effectLst>
      </xdr:spPr>
    </xdr:pic>
    <xdr:clientData/>
  </xdr:twoCellAnchor>
  <xdr:twoCellAnchor editAs="oneCell">
    <xdr:from>
      <xdr:col>4</xdr:col>
      <xdr:colOff>430629</xdr:colOff>
      <xdr:row>3</xdr:row>
      <xdr:rowOff>82284</xdr:rowOff>
    </xdr:from>
    <xdr:to>
      <xdr:col>5</xdr:col>
      <xdr:colOff>4356</xdr:colOff>
      <xdr:row>4</xdr:row>
      <xdr:rowOff>82731</xdr:rowOff>
    </xdr:to>
    <xdr:pic>
      <xdr:nvPicPr>
        <xdr:cNvPr id="48" name="Graphic 47" descr="Hourglass">
          <a:extLst>
            <a:ext uri="{FF2B5EF4-FFF2-40B4-BE49-F238E27FC236}">
              <a16:creationId xmlns:a16="http://schemas.microsoft.com/office/drawing/2014/main" id="{9FD52576-3CE1-5C99-C7E2-A83FC22CE60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69029" y="630924"/>
          <a:ext cx="183327" cy="183327"/>
        </a:xfrm>
        <a:prstGeom prst="rect">
          <a:avLst/>
        </a:prstGeom>
        <a:effectLst>
          <a:glow rad="63500">
            <a:schemeClr val="accent1">
              <a:lumMod val="60000"/>
              <a:lumOff val="40000"/>
              <a:alpha val="15000"/>
            </a:schemeClr>
          </a:glow>
        </a:effectLst>
      </xdr:spPr>
    </xdr:pic>
    <xdr:clientData/>
  </xdr:twoCellAnchor>
  <xdr:twoCellAnchor editAs="oneCell">
    <xdr:from>
      <xdr:col>6</xdr:col>
      <xdr:colOff>387530</xdr:colOff>
      <xdr:row>3</xdr:row>
      <xdr:rowOff>78376</xdr:rowOff>
    </xdr:from>
    <xdr:to>
      <xdr:col>6</xdr:col>
      <xdr:colOff>583474</xdr:colOff>
      <xdr:row>4</xdr:row>
      <xdr:rowOff>91440</xdr:rowOff>
    </xdr:to>
    <xdr:pic>
      <xdr:nvPicPr>
        <xdr:cNvPr id="50" name="Graphic 49" descr="Star">
          <a:extLst>
            <a:ext uri="{FF2B5EF4-FFF2-40B4-BE49-F238E27FC236}">
              <a16:creationId xmlns:a16="http://schemas.microsoft.com/office/drawing/2014/main" id="{D891CAB8-B6D8-005E-E593-4607EB3259E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5130" y="627016"/>
          <a:ext cx="195944" cy="195944"/>
        </a:xfrm>
        <a:prstGeom prst="rect">
          <a:avLst/>
        </a:prstGeom>
        <a:effectLst>
          <a:glow rad="63500">
            <a:schemeClr val="accent1">
              <a:lumMod val="60000"/>
              <a:lumOff val="40000"/>
              <a:alpha val="15000"/>
            </a:schemeClr>
          </a:glow>
        </a:effectLst>
      </xdr:spPr>
    </xdr:pic>
    <xdr:clientData/>
  </xdr:twoCellAnchor>
  <xdr:twoCellAnchor editAs="oneCell">
    <xdr:from>
      <xdr:col>0</xdr:col>
      <xdr:colOff>82731</xdr:colOff>
      <xdr:row>3</xdr:row>
      <xdr:rowOff>87085</xdr:rowOff>
    </xdr:from>
    <xdr:to>
      <xdr:col>1</xdr:col>
      <xdr:colOff>69806</xdr:colOff>
      <xdr:row>15</xdr:row>
      <xdr:rowOff>60959</xdr:rowOff>
    </xdr:to>
    <mc:AlternateContent xmlns:mc="http://schemas.openxmlformats.org/markup-compatibility/2006" xmlns:a14="http://schemas.microsoft.com/office/drawing/2010/main">
      <mc:Choice Requires="a14">
        <xdr:graphicFrame macro="">
          <xdr:nvGraphicFramePr>
            <xdr:cNvPr id="51" name="Date (Month)">
              <a:extLst>
                <a:ext uri="{FF2B5EF4-FFF2-40B4-BE49-F238E27FC236}">
                  <a16:creationId xmlns:a16="http://schemas.microsoft.com/office/drawing/2014/main" id="{14227863-073B-493F-B335-AEE130A3839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2731" y="635726"/>
              <a:ext cx="596675" cy="2172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169818</xdr:colOff>
      <xdr:row>4</xdr:row>
      <xdr:rowOff>39189</xdr:rowOff>
    </xdr:from>
    <xdr:to>
      <xdr:col>3</xdr:col>
      <xdr:colOff>82732</xdr:colOff>
      <xdr:row>7</xdr:row>
      <xdr:rowOff>108857</xdr:rowOff>
    </xdr:to>
    <xdr:graphicFrame macro="">
      <xdr:nvGraphicFramePr>
        <xdr:cNvPr id="53" name="Chart 52">
          <a:hlinkClick xmlns:r="http://schemas.openxmlformats.org/officeDocument/2006/relationships" r:id="rId2"/>
          <a:extLst>
            <a:ext uri="{FF2B5EF4-FFF2-40B4-BE49-F238E27FC236}">
              <a16:creationId xmlns:a16="http://schemas.microsoft.com/office/drawing/2014/main" id="{4E99845E-513D-40BD-BEF0-130418863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21771</xdr:colOff>
      <xdr:row>4</xdr:row>
      <xdr:rowOff>52252</xdr:rowOff>
    </xdr:from>
    <xdr:to>
      <xdr:col>5</xdr:col>
      <xdr:colOff>195943</xdr:colOff>
      <xdr:row>8</xdr:row>
      <xdr:rowOff>74023</xdr:rowOff>
    </xdr:to>
    <xdr:graphicFrame macro="">
      <xdr:nvGraphicFramePr>
        <xdr:cNvPr id="9" name="Chart 8">
          <a:hlinkClick xmlns:r="http://schemas.openxmlformats.org/officeDocument/2006/relationships" r:id="rId10"/>
          <a:extLst>
            <a:ext uri="{FF2B5EF4-FFF2-40B4-BE49-F238E27FC236}">
              <a16:creationId xmlns:a16="http://schemas.microsoft.com/office/drawing/2014/main" id="{13337BBD-275A-43C3-A626-C64FCF4A7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78377</xdr:colOff>
      <xdr:row>4</xdr:row>
      <xdr:rowOff>52251</xdr:rowOff>
    </xdr:from>
    <xdr:to>
      <xdr:col>7</xdr:col>
      <xdr:colOff>169817</xdr:colOff>
      <xdr:row>8</xdr:row>
      <xdr:rowOff>0</xdr:rowOff>
    </xdr:to>
    <xdr:graphicFrame macro="">
      <xdr:nvGraphicFramePr>
        <xdr:cNvPr id="10" name="Chart 9">
          <a:hlinkClick xmlns:r="http://schemas.openxmlformats.org/officeDocument/2006/relationships" r:id="rId12"/>
          <a:extLst>
            <a:ext uri="{FF2B5EF4-FFF2-40B4-BE49-F238E27FC236}">
              <a16:creationId xmlns:a16="http://schemas.microsoft.com/office/drawing/2014/main" id="{CE009E21-C6EE-492B-A725-A64312B41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178526</xdr:colOff>
          <xdr:row>7</xdr:row>
          <xdr:rowOff>165462</xdr:rowOff>
        </xdr:from>
        <xdr:to>
          <xdr:col>6</xdr:col>
          <xdr:colOff>605246</xdr:colOff>
          <xdr:row>9</xdr:row>
          <xdr:rowOff>178526</xdr:rowOff>
        </xdr:to>
        <xdr:pic>
          <xdr:nvPicPr>
            <xdr:cNvPr id="11" name="Picture 10">
              <a:extLst>
                <a:ext uri="{FF2B5EF4-FFF2-40B4-BE49-F238E27FC236}">
                  <a16:creationId xmlns:a16="http://schemas.microsoft.com/office/drawing/2014/main" id="{E1C7BA55-CD95-3247-57F5-F95BB78EF22C}"/>
                </a:ext>
              </a:extLst>
            </xdr:cNvPr>
            <xdr:cNvPicPr>
              <a:picLocks noChangeAspect="1" noChangeArrowheads="1"/>
              <a:extLst>
                <a:ext uri="{84589F7E-364E-4C9E-8A38-B11213B215E9}">
                  <a14:cameraTool cellRange="'Pivot Report'!$A$46:$D$48" spid="_x0000_s2088"/>
                </a:ext>
              </a:extLst>
            </xdr:cNvPicPr>
          </xdr:nvPicPr>
          <xdr:blipFill>
            <a:blip xmlns:r="http://schemas.openxmlformats.org/officeDocument/2006/relationships" r:embed="rId14"/>
            <a:srcRect/>
            <a:stretch>
              <a:fillRect/>
            </a:stretch>
          </xdr:blipFill>
          <xdr:spPr bwMode="auto">
            <a:xfrm>
              <a:off x="788126" y="1445622"/>
              <a:ext cx="3474720" cy="378824"/>
            </a:xfrm>
            <a:prstGeom prst="roundRect">
              <a:avLst>
                <a:gd name="adj" fmla="val 22181"/>
              </a:avLst>
            </a:prstGeom>
            <a:solidFill>
              <a:schemeClr val="bg1"/>
            </a:solidFill>
            <a:ln>
              <a:noFill/>
            </a:ln>
            <a:effectLst/>
          </xdr:spPr>
        </xdr:pic>
        <xdr:clientData/>
      </xdr:twoCellAnchor>
    </mc:Choice>
    <mc:Fallback/>
  </mc:AlternateContent>
  <xdr:twoCellAnchor>
    <xdr:from>
      <xdr:col>1</xdr:col>
      <xdr:colOff>195944</xdr:colOff>
      <xdr:row>10</xdr:row>
      <xdr:rowOff>56605</xdr:rowOff>
    </xdr:from>
    <xdr:to>
      <xdr:col>7</xdr:col>
      <xdr:colOff>21772</xdr:colOff>
      <xdr:row>15</xdr:row>
      <xdr:rowOff>95794</xdr:rowOff>
    </xdr:to>
    <xdr:graphicFrame macro="">
      <xdr:nvGraphicFramePr>
        <xdr:cNvPr id="14" name="Chart 13">
          <a:extLst>
            <a:ext uri="{FF2B5EF4-FFF2-40B4-BE49-F238E27FC236}">
              <a16:creationId xmlns:a16="http://schemas.microsoft.com/office/drawing/2014/main" id="{EDBADA3E-8099-46FE-92D9-5181740B0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483328</xdr:colOff>
      <xdr:row>14</xdr:row>
      <xdr:rowOff>126273</xdr:rowOff>
    </xdr:from>
    <xdr:to>
      <xdr:col>5</xdr:col>
      <xdr:colOff>100150</xdr:colOff>
      <xdr:row>15</xdr:row>
      <xdr:rowOff>161107</xdr:rowOff>
    </xdr:to>
    <xdr:sp macro="" textlink="">
      <xdr:nvSpPr>
        <xdr:cNvPr id="18" name="TextBox 17">
          <a:extLst>
            <a:ext uri="{FF2B5EF4-FFF2-40B4-BE49-F238E27FC236}">
              <a16:creationId xmlns:a16="http://schemas.microsoft.com/office/drawing/2014/main" id="{19975899-4AC4-0CB7-FAE2-EE22ADC14050}"/>
            </a:ext>
          </a:extLst>
        </xdr:cNvPr>
        <xdr:cNvSpPr txBox="1"/>
      </xdr:nvSpPr>
      <xdr:spPr>
        <a:xfrm>
          <a:off x="1702528" y="2686593"/>
          <a:ext cx="1445622"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1"/>
            <a:t>No.</a:t>
          </a:r>
          <a:r>
            <a:rPr lang="en-IN" sz="700" b="1" baseline="0"/>
            <a:t> of patients by Age group</a:t>
          </a:r>
          <a:endParaRPr lang="en-IN" sz="700" b="1"/>
        </a:p>
      </xdr:txBody>
    </xdr:sp>
    <xdr:clientData/>
  </xdr:twoCellAnchor>
  <xdr:twoCellAnchor>
    <xdr:from>
      <xdr:col>7</xdr:col>
      <xdr:colOff>74026</xdr:colOff>
      <xdr:row>0</xdr:row>
      <xdr:rowOff>43544</xdr:rowOff>
    </xdr:from>
    <xdr:to>
      <xdr:col>9</xdr:col>
      <xdr:colOff>108857</xdr:colOff>
      <xdr:row>6</xdr:row>
      <xdr:rowOff>161109</xdr:rowOff>
    </xdr:to>
    <xdr:graphicFrame macro="">
      <xdr:nvGraphicFramePr>
        <xdr:cNvPr id="20" name="Chart 19">
          <a:extLst>
            <a:ext uri="{FF2B5EF4-FFF2-40B4-BE49-F238E27FC236}">
              <a16:creationId xmlns:a16="http://schemas.microsoft.com/office/drawing/2014/main" id="{38B79B72-6A77-4281-A7B8-3DB7731DD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30481</xdr:colOff>
      <xdr:row>6</xdr:row>
      <xdr:rowOff>69670</xdr:rowOff>
    </xdr:from>
    <xdr:to>
      <xdr:col>9</xdr:col>
      <xdr:colOff>256903</xdr:colOff>
      <xdr:row>7</xdr:row>
      <xdr:rowOff>113213</xdr:rowOff>
    </xdr:to>
    <xdr:sp macro="" textlink="">
      <xdr:nvSpPr>
        <xdr:cNvPr id="21" name="TextBox 20">
          <a:extLst>
            <a:ext uri="{FF2B5EF4-FFF2-40B4-BE49-F238E27FC236}">
              <a16:creationId xmlns:a16="http://schemas.microsoft.com/office/drawing/2014/main" id="{4C0A8842-92F0-7C57-06FF-6F9CA73F967C}"/>
            </a:ext>
          </a:extLst>
        </xdr:cNvPr>
        <xdr:cNvSpPr txBox="1"/>
      </xdr:nvSpPr>
      <xdr:spPr>
        <a:xfrm>
          <a:off x="4297681" y="1166950"/>
          <a:ext cx="1445622"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1"/>
            <a:t>Patient</a:t>
          </a:r>
          <a:r>
            <a:rPr lang="en-IN" sz="700" b="1" baseline="0"/>
            <a:t> Attend Status</a:t>
          </a:r>
        </a:p>
        <a:p>
          <a:pPr algn="ctr"/>
          <a:endParaRPr lang="en-IN" sz="800"/>
        </a:p>
      </xdr:txBody>
    </xdr:sp>
    <xdr:clientData/>
  </xdr:twoCellAnchor>
  <xdr:twoCellAnchor>
    <xdr:from>
      <xdr:col>9</xdr:col>
      <xdr:colOff>113212</xdr:colOff>
      <xdr:row>0</xdr:row>
      <xdr:rowOff>30480</xdr:rowOff>
    </xdr:from>
    <xdr:to>
      <xdr:col>11</xdr:col>
      <xdr:colOff>291738</xdr:colOff>
      <xdr:row>6</xdr:row>
      <xdr:rowOff>121920</xdr:rowOff>
    </xdr:to>
    <xdr:graphicFrame macro="">
      <xdr:nvGraphicFramePr>
        <xdr:cNvPr id="8" name="Chart 7">
          <a:extLst>
            <a:ext uri="{FF2B5EF4-FFF2-40B4-BE49-F238E27FC236}">
              <a16:creationId xmlns:a16="http://schemas.microsoft.com/office/drawing/2014/main" id="{B146E454-6E8B-4B85-8100-4002E14E5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148047</xdr:colOff>
      <xdr:row>6</xdr:row>
      <xdr:rowOff>74025</xdr:rowOff>
    </xdr:from>
    <xdr:to>
      <xdr:col>11</xdr:col>
      <xdr:colOff>374469</xdr:colOff>
      <xdr:row>7</xdr:row>
      <xdr:rowOff>117568</xdr:rowOff>
    </xdr:to>
    <xdr:sp macro="" textlink="">
      <xdr:nvSpPr>
        <xdr:cNvPr id="12" name="TextBox 11">
          <a:extLst>
            <a:ext uri="{FF2B5EF4-FFF2-40B4-BE49-F238E27FC236}">
              <a16:creationId xmlns:a16="http://schemas.microsoft.com/office/drawing/2014/main" id="{129E273D-E9AB-45F8-7D16-5A94EFA9DD95}"/>
            </a:ext>
          </a:extLst>
        </xdr:cNvPr>
        <xdr:cNvSpPr txBox="1"/>
      </xdr:nvSpPr>
      <xdr:spPr>
        <a:xfrm>
          <a:off x="5634447" y="1171305"/>
          <a:ext cx="1445622"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1" baseline="0"/>
            <a:t>No. of patients by gender</a:t>
          </a:r>
        </a:p>
        <a:p>
          <a:pPr algn="ctr"/>
          <a:endParaRPr lang="en-IN" sz="800" baseline="0"/>
        </a:p>
        <a:p>
          <a:pPr algn="ctr"/>
          <a:endParaRPr lang="en-IN" sz="800"/>
        </a:p>
      </xdr:txBody>
    </xdr:sp>
    <xdr:clientData/>
  </xdr:twoCellAnchor>
  <xdr:twoCellAnchor>
    <xdr:from>
      <xdr:col>6</xdr:col>
      <xdr:colOff>579120</xdr:colOff>
      <xdr:row>6</xdr:row>
      <xdr:rowOff>152399</xdr:rowOff>
    </xdr:from>
    <xdr:to>
      <xdr:col>11</xdr:col>
      <xdr:colOff>339634</xdr:colOff>
      <xdr:row>15</xdr:row>
      <xdr:rowOff>134981</xdr:rowOff>
    </xdr:to>
    <xdr:graphicFrame macro="">
      <xdr:nvGraphicFramePr>
        <xdr:cNvPr id="15" name="Chart 14">
          <a:extLst>
            <a:ext uri="{FF2B5EF4-FFF2-40B4-BE49-F238E27FC236}">
              <a16:creationId xmlns:a16="http://schemas.microsoft.com/office/drawing/2014/main" id="{AD5A2E53-F6A2-4C99-AD4E-14055FC26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605249</xdr:colOff>
      <xdr:row>14</xdr:row>
      <xdr:rowOff>108856</xdr:rowOff>
    </xdr:from>
    <xdr:to>
      <xdr:col>11</xdr:col>
      <xdr:colOff>222071</xdr:colOff>
      <xdr:row>15</xdr:row>
      <xdr:rowOff>143690</xdr:rowOff>
    </xdr:to>
    <xdr:sp macro="" textlink="">
      <xdr:nvSpPr>
        <xdr:cNvPr id="22" name="TextBox 21">
          <a:extLst>
            <a:ext uri="{FF2B5EF4-FFF2-40B4-BE49-F238E27FC236}">
              <a16:creationId xmlns:a16="http://schemas.microsoft.com/office/drawing/2014/main" id="{8F6C8E25-6FF2-38D1-623D-FD0169F17A8A}"/>
            </a:ext>
          </a:extLst>
        </xdr:cNvPr>
        <xdr:cNvSpPr txBox="1"/>
      </xdr:nvSpPr>
      <xdr:spPr>
        <a:xfrm>
          <a:off x="5482049" y="2669176"/>
          <a:ext cx="1445622"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1"/>
            <a:t>No.</a:t>
          </a:r>
          <a:r>
            <a:rPr lang="en-IN" sz="700" b="1" baseline="0"/>
            <a:t> of patients by Department Referal</a:t>
          </a:r>
        </a:p>
        <a:p>
          <a:pPr algn="ctr"/>
          <a:endParaRPr lang="en-IN" sz="700" b="1"/>
        </a:p>
      </xdr:txBody>
    </xdr:sp>
    <xdr:clientData/>
  </xdr:twoCellAnchor>
  <xdr:twoCellAnchor editAs="oneCell">
    <xdr:from>
      <xdr:col>5</xdr:col>
      <xdr:colOff>269966</xdr:colOff>
      <xdr:row>0</xdr:row>
      <xdr:rowOff>169816</xdr:rowOff>
    </xdr:from>
    <xdr:to>
      <xdr:col>7</xdr:col>
      <xdr:colOff>85992</xdr:colOff>
      <xdr:row>0</xdr:row>
      <xdr:rowOff>169816</xdr:rowOff>
    </xdr:to>
    <mc:AlternateContent xmlns:mc="http://schemas.openxmlformats.org/markup-compatibility/2006" xmlns:a14="http://schemas.microsoft.com/office/drawing/2010/main">
      <mc:Choice Requires="a14">
        <xdr:graphicFrame macro="">
          <xdr:nvGraphicFramePr>
            <xdr:cNvPr id="26" name="Date (Year) 1">
              <a:extLst>
                <a:ext uri="{FF2B5EF4-FFF2-40B4-BE49-F238E27FC236}">
                  <a16:creationId xmlns:a16="http://schemas.microsoft.com/office/drawing/2014/main" id="{0D25BD65-5BDA-4683-AF9D-8E0F480D61E3}"/>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17966" y="169816"/>
              <a:ext cx="1035226" cy="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265612</xdr:colOff>
      <xdr:row>0</xdr:row>
      <xdr:rowOff>100147</xdr:rowOff>
    </xdr:from>
    <xdr:to>
      <xdr:col>6</xdr:col>
      <xdr:colOff>592182</xdr:colOff>
      <xdr:row>2</xdr:row>
      <xdr:rowOff>130387</xdr:rowOff>
    </xdr:to>
    <mc:AlternateContent xmlns:mc="http://schemas.openxmlformats.org/markup-compatibility/2006" xmlns:a14="http://schemas.microsoft.com/office/drawing/2010/main">
      <mc:Choice Requires="a14">
        <xdr:graphicFrame macro="">
          <xdr:nvGraphicFramePr>
            <xdr:cNvPr id="29" name="Date (Year) 2">
              <a:extLst>
                <a:ext uri="{FF2B5EF4-FFF2-40B4-BE49-F238E27FC236}">
                  <a16:creationId xmlns:a16="http://schemas.microsoft.com/office/drawing/2014/main" id="{6F6F1602-9198-40A0-88D1-7D6B745F5082}"/>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3313612" y="100147"/>
              <a:ext cx="936170" cy="3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395288</xdr:colOff>
      <xdr:row>0</xdr:row>
      <xdr:rowOff>57151</xdr:rowOff>
    </xdr:from>
    <xdr:to>
      <xdr:col>15</xdr:col>
      <xdr:colOff>400050</xdr:colOff>
      <xdr:row>15</xdr:row>
      <xdr:rowOff>69669</xdr:rowOff>
    </xdr:to>
    <xdr:sp macro="" textlink="">
      <xdr:nvSpPr>
        <xdr:cNvPr id="23" name="Rectangle: Rounded Corners 22">
          <a:extLst>
            <a:ext uri="{FF2B5EF4-FFF2-40B4-BE49-F238E27FC236}">
              <a16:creationId xmlns:a16="http://schemas.microsoft.com/office/drawing/2014/main" id="{C6BF220E-CC0E-69D4-B41B-38DE9B6000F6}"/>
            </a:ext>
          </a:extLst>
        </xdr:cNvPr>
        <xdr:cNvSpPr/>
      </xdr:nvSpPr>
      <xdr:spPr>
        <a:xfrm>
          <a:off x="7100888" y="57151"/>
          <a:ext cx="2443162" cy="2736668"/>
        </a:xfrm>
        <a:prstGeom prst="roundRect">
          <a:avLst>
            <a:gd name="adj" fmla="val 26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490538</xdr:colOff>
      <xdr:row>0</xdr:row>
      <xdr:rowOff>85725</xdr:rowOff>
    </xdr:from>
    <xdr:to>
      <xdr:col>15</xdr:col>
      <xdr:colOff>490538</xdr:colOff>
      <xdr:row>7</xdr:row>
      <xdr:rowOff>171450</xdr:rowOff>
    </xdr:to>
    <xdr:sp macro="" textlink="">
      <xdr:nvSpPr>
        <xdr:cNvPr id="24" name="TextBox 23">
          <a:extLst>
            <a:ext uri="{FF2B5EF4-FFF2-40B4-BE49-F238E27FC236}">
              <a16:creationId xmlns:a16="http://schemas.microsoft.com/office/drawing/2014/main" id="{F19B2113-EB14-4510-1A3D-EE5CB06AF1BC}"/>
            </a:ext>
          </a:extLst>
        </xdr:cNvPr>
        <xdr:cNvSpPr txBox="1"/>
      </xdr:nvSpPr>
      <xdr:spPr>
        <a:xfrm>
          <a:off x="7196138" y="85725"/>
          <a:ext cx="2438400" cy="1352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u="sng">
              <a:solidFill>
                <a:schemeClr val="accent5">
                  <a:lumMod val="50000"/>
                </a:schemeClr>
              </a:solidFill>
            </a:rPr>
            <a:t>KEY INSIGHTS</a:t>
          </a:r>
        </a:p>
        <a:p>
          <a:endParaRPr lang="en-IN" sz="600" b="1" u="sng"/>
        </a:p>
        <a:p>
          <a:r>
            <a:rPr lang="en-IN" sz="900"/>
            <a:t>1. Patients </a:t>
          </a:r>
          <a:r>
            <a:rPr lang="en-IN" sz="900" b="1">
              <a:solidFill>
                <a:schemeClr val="accent2"/>
              </a:solidFill>
            </a:rPr>
            <a:t>aged 60+ </a:t>
          </a:r>
          <a:r>
            <a:rPr lang="en-IN" sz="900" b="0">
              <a:solidFill>
                <a:schemeClr val="tx1"/>
              </a:solidFill>
            </a:rPr>
            <a:t>show a higher delay rate </a:t>
          </a:r>
          <a:r>
            <a:rPr lang="en-IN" sz="900"/>
            <a:t>compared to younger age groups.</a:t>
          </a:r>
        </a:p>
        <a:p>
          <a:r>
            <a:rPr lang="en-IN" sz="900"/>
            <a:t>2. Longer waiting times lead to higher delay rates.</a:t>
          </a:r>
        </a:p>
        <a:p>
          <a:r>
            <a:rPr lang="en-IN" sz="900"/>
            <a:t>3.</a:t>
          </a:r>
          <a:r>
            <a:rPr lang="en-IN" sz="900" baseline="0"/>
            <a:t> </a:t>
          </a:r>
          <a:r>
            <a:rPr lang="en-IN" sz="900"/>
            <a:t>Male patients form slightly more admissions, but delay rate is similar across genders.</a:t>
          </a:r>
          <a:endParaRPr lang="en-IN" sz="900" b="0">
            <a:solidFill>
              <a:schemeClr val="accent2"/>
            </a:solidFill>
          </a:endParaRPr>
        </a:p>
      </xdr:txBody>
    </xdr:sp>
    <xdr:clientData/>
  </xdr:twoCellAnchor>
  <xdr:twoCellAnchor>
    <xdr:from>
      <xdr:col>11</xdr:col>
      <xdr:colOff>500063</xdr:colOff>
      <xdr:row>7</xdr:row>
      <xdr:rowOff>161925</xdr:rowOff>
    </xdr:from>
    <xdr:to>
      <xdr:col>15</xdr:col>
      <xdr:colOff>495300</xdr:colOff>
      <xdr:row>15</xdr:row>
      <xdr:rowOff>109537</xdr:rowOff>
    </xdr:to>
    <xdr:sp macro="" textlink="">
      <xdr:nvSpPr>
        <xdr:cNvPr id="25" name="TextBox 24">
          <a:extLst>
            <a:ext uri="{FF2B5EF4-FFF2-40B4-BE49-F238E27FC236}">
              <a16:creationId xmlns:a16="http://schemas.microsoft.com/office/drawing/2014/main" id="{DCCE374C-8196-86B7-33B5-9EC4A2D3CFAF}"/>
            </a:ext>
          </a:extLst>
        </xdr:cNvPr>
        <xdr:cNvSpPr txBox="1"/>
      </xdr:nvSpPr>
      <xdr:spPr>
        <a:xfrm>
          <a:off x="7205663" y="1428750"/>
          <a:ext cx="2433637" cy="1404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u="sng">
              <a:solidFill>
                <a:schemeClr val="accent5">
                  <a:lumMod val="50000"/>
                </a:schemeClr>
              </a:solidFill>
              <a:latin typeface="+mn-lt"/>
              <a:ea typeface="+mn-ea"/>
              <a:cs typeface="+mn-cs"/>
            </a:rPr>
            <a:t>RECOMMENDATIONS</a:t>
          </a:r>
        </a:p>
        <a:p>
          <a:endParaRPr lang="en-IN" sz="600" b="1" u="sng">
            <a:solidFill>
              <a:schemeClr val="dk1"/>
            </a:solidFill>
            <a:latin typeface="+mn-lt"/>
            <a:ea typeface="+mn-ea"/>
            <a:cs typeface="+mn-cs"/>
          </a:endParaRPr>
        </a:p>
        <a:p>
          <a:r>
            <a:rPr lang="en-IN" sz="900"/>
            <a:t>1. </a:t>
          </a:r>
          <a:r>
            <a:rPr lang="en-IN" sz="900">
              <a:solidFill>
                <a:schemeClr val="tx1"/>
              </a:solidFill>
            </a:rPr>
            <a:t>Older patients </a:t>
          </a:r>
          <a:r>
            <a:rPr lang="en-IN" sz="900"/>
            <a:t>should be checked first </a:t>
          </a:r>
          <a:r>
            <a:rPr lang="en-IN" sz="900">
              <a:solidFill>
                <a:schemeClr val="tx1"/>
              </a:solidFill>
            </a:rPr>
            <a:t>to reduce delays and health risks.</a:t>
          </a:r>
        </a:p>
        <a:p>
          <a:r>
            <a:rPr lang="en-IN" sz="900"/>
            <a:t>2. Add more staff or doctors when patient inflow is high so waiting time stays low.</a:t>
          </a:r>
        </a:p>
        <a:p>
          <a:r>
            <a:rPr lang="en-IN" sz="900"/>
            <a:t>3. Try to ensure no patient waits </a:t>
          </a:r>
          <a:r>
            <a:rPr lang="en-IN" sz="900">
              <a:solidFill>
                <a:schemeClr val="tx1"/>
              </a:solidFill>
            </a:rPr>
            <a:t>more than </a:t>
          </a:r>
          <a:r>
            <a:rPr lang="en-IN" sz="900" b="1">
              <a:solidFill>
                <a:schemeClr val="accent2"/>
              </a:solidFill>
            </a:rPr>
            <a:t>20 minutes</a:t>
          </a:r>
          <a:r>
            <a:rPr lang="en-IN" sz="900"/>
            <a:t> for first assessment.</a:t>
          </a:r>
          <a:endParaRPr lang="en-IN" sz="900" b="1" u="sng">
            <a:solidFill>
              <a:schemeClr val="dk1"/>
            </a:solidFill>
            <a:latin typeface="+mn-lt"/>
            <a:ea typeface="+mn-ea"/>
            <a:cs typeface="+mn-cs"/>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0.06923</cdr:x>
      <cdr:y>0.07831</cdr:y>
    </cdr:from>
    <cdr:to>
      <cdr:x>0.96923</cdr:x>
      <cdr:y>0.6506</cdr:y>
    </cdr:to>
    <cdr:sp macro="" textlink="">
      <cdr:nvSpPr>
        <cdr:cNvPr id="2" name="Rectangle 1">
          <a:extLst xmlns:a="http://schemas.openxmlformats.org/drawingml/2006/main">
            <a:ext uri="{FF2B5EF4-FFF2-40B4-BE49-F238E27FC236}">
              <a16:creationId xmlns:a16="http://schemas.microsoft.com/office/drawing/2014/main" id="{6851EEC8-C169-9445-FF15-EE8C09670E77}"/>
            </a:ext>
          </a:extLst>
        </cdr:cNvPr>
        <cdr:cNvSpPr/>
      </cdr:nvSpPr>
      <cdr:spPr>
        <a:xfrm xmlns:a="http://schemas.openxmlformats.org/drawingml/2006/main">
          <a:off x="78376" y="56605"/>
          <a:ext cx="1018903" cy="41365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111368</xdr:colOff>
      <xdr:row>0</xdr:row>
      <xdr:rowOff>158262</xdr:rowOff>
    </xdr:from>
    <xdr:to>
      <xdr:col>17</xdr:col>
      <xdr:colOff>228599</xdr:colOff>
      <xdr:row>15</xdr:row>
      <xdr:rowOff>140676</xdr:rowOff>
    </xdr:to>
    <xdr:graphicFrame macro="">
      <xdr:nvGraphicFramePr>
        <xdr:cNvPr id="2" name="Chart 1">
          <a:extLst>
            <a:ext uri="{FF2B5EF4-FFF2-40B4-BE49-F238E27FC236}">
              <a16:creationId xmlns:a16="http://schemas.microsoft.com/office/drawing/2014/main" id="{C83400C5-4B4B-494A-984A-5430C0656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0.00783</cdr:x>
      <cdr:y>0.01106</cdr:y>
    </cdr:from>
    <cdr:to>
      <cdr:x>0.03524</cdr:x>
      <cdr:y>0.11947</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D4703E9-B54B-1E50-231D-C14FF1EB311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2062" y="29308"/>
          <a:ext cx="287217" cy="287217"/>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105506</xdr:colOff>
      <xdr:row>1</xdr:row>
      <xdr:rowOff>0</xdr:rowOff>
    </xdr:from>
    <xdr:to>
      <xdr:col>17</xdr:col>
      <xdr:colOff>381000</xdr:colOff>
      <xdr:row>15</xdr:row>
      <xdr:rowOff>146538</xdr:rowOff>
    </xdr:to>
    <xdr:graphicFrame macro="">
      <xdr:nvGraphicFramePr>
        <xdr:cNvPr id="2" name="Chart 1">
          <a:extLst>
            <a:ext uri="{FF2B5EF4-FFF2-40B4-BE49-F238E27FC236}">
              <a16:creationId xmlns:a16="http://schemas.microsoft.com/office/drawing/2014/main" id="{770520A4-527C-4361-9C35-42EDBF7D6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205152</xdr:colOff>
      <xdr:row>1</xdr:row>
      <xdr:rowOff>76198</xdr:rowOff>
    </xdr:from>
    <xdr:to>
      <xdr:col>0</xdr:col>
      <xdr:colOff>480646</xdr:colOff>
      <xdr:row>2</xdr:row>
      <xdr:rowOff>169985</xdr:rowOff>
    </xdr:to>
    <xdr:pic>
      <xdr:nvPicPr>
        <xdr:cNvPr id="4" name="Graphic 3" descr="Home">
          <a:hlinkClick xmlns:r="http://schemas.openxmlformats.org/officeDocument/2006/relationships" r:id="rId2"/>
          <a:extLst>
            <a:ext uri="{FF2B5EF4-FFF2-40B4-BE49-F238E27FC236}">
              <a16:creationId xmlns:a16="http://schemas.microsoft.com/office/drawing/2014/main" id="{1710BF84-F23B-8104-4E5D-F9C4507291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5152" y="257906"/>
          <a:ext cx="275494" cy="27549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70337</xdr:colOff>
      <xdr:row>1</xdr:row>
      <xdr:rowOff>17584</xdr:rowOff>
    </xdr:from>
    <xdr:to>
      <xdr:col>16</xdr:col>
      <xdr:colOff>334108</xdr:colOff>
      <xdr:row>15</xdr:row>
      <xdr:rowOff>76200</xdr:rowOff>
    </xdr:to>
    <xdr:graphicFrame macro="">
      <xdr:nvGraphicFramePr>
        <xdr:cNvPr id="2" name="Chart 1">
          <a:extLst>
            <a:ext uri="{FF2B5EF4-FFF2-40B4-BE49-F238E27FC236}">
              <a16:creationId xmlns:a16="http://schemas.microsoft.com/office/drawing/2014/main" id="{73666C58-46B9-451F-8AB0-7CE45A1A1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128954</xdr:colOff>
      <xdr:row>1</xdr:row>
      <xdr:rowOff>70339</xdr:rowOff>
    </xdr:from>
    <xdr:to>
      <xdr:col>0</xdr:col>
      <xdr:colOff>398585</xdr:colOff>
      <xdr:row>2</xdr:row>
      <xdr:rowOff>158263</xdr:rowOff>
    </xdr:to>
    <xdr:pic>
      <xdr:nvPicPr>
        <xdr:cNvPr id="4" name="Graphic 3" descr="Home">
          <a:hlinkClick xmlns:r="http://schemas.openxmlformats.org/officeDocument/2006/relationships" r:id="rId2"/>
          <a:extLst>
            <a:ext uri="{FF2B5EF4-FFF2-40B4-BE49-F238E27FC236}">
              <a16:creationId xmlns:a16="http://schemas.microsoft.com/office/drawing/2014/main" id="{9E80AEB0-B1D9-87C6-5263-584599DD3B4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8954" y="252047"/>
          <a:ext cx="269631" cy="269631"/>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0.01382</cdr:x>
      <cdr:y>0.73995</cdr:y>
    </cdr:from>
    <cdr:to>
      <cdr:x>0.98327</cdr:x>
      <cdr:y>0.83237</cdr:y>
    </cdr:to>
    <cdr:sp macro="" textlink="">
      <cdr:nvSpPr>
        <cdr:cNvPr id="2" name="TextBox 1">
          <a:extLst xmlns:a="http://schemas.openxmlformats.org/drawingml/2006/main">
            <a:ext uri="{FF2B5EF4-FFF2-40B4-BE49-F238E27FC236}">
              <a16:creationId xmlns:a16="http://schemas.microsoft.com/office/drawing/2014/main" id="{D3DEE206-C013-A147-52E5-ED9A679381EF}"/>
            </a:ext>
          </a:extLst>
        </cdr:cNvPr>
        <cdr:cNvSpPr txBox="1"/>
      </cdr:nvSpPr>
      <cdr:spPr>
        <a:xfrm xmlns:a="http://schemas.openxmlformats.org/drawingml/2006/main">
          <a:off x="111370" y="2018128"/>
          <a:ext cx="7813430" cy="2520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90950578706" createdVersion="5" refreshedVersion="8" minRefreshableVersion="3" recordCount="0" supportSubquery="1" supportAdvancedDrill="1" xr:uid="{1FA2DE04-72F5-4FBE-91A6-D3077F1784F6}">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90951157406" createdVersion="5" refreshedVersion="8" minRefreshableVersion="3" recordCount="0" supportSubquery="1" supportAdvancedDrill="1" xr:uid="{2076DE78-159C-47C9-A65C-C9147D9EF019}">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90951620368" createdVersion="5" refreshedVersion="8" minRefreshableVersion="3" recordCount="0" supportSubquery="1" supportAdvancedDrill="1" xr:uid="{1E505D54-0714-447A-9361-CA1E663857F6}">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90951967592" createdVersion="5" refreshedVersion="8" minRefreshableVersion="3" recordCount="0" supportSubquery="1" supportAdvancedDrill="1" xr:uid="{8B92BD78-81B3-4E4E-937D-88A98A87A591}">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90952777777" createdVersion="5" refreshedVersion="8" minRefreshableVersion="3" recordCount="0" supportSubquery="1" supportAdvancedDrill="1" xr:uid="{EFE04A11-4F34-4DCE-BE6B-EBCF223041F4}">
  <cacheSource type="external" connectionId="3"/>
  <cacheFields count="4">
    <cacheField name="[Calendar_Table].[Date (Day)].[Date (Day)]" caption="Date (Day)" numFmtId="0" hierarchy="2" level="1">
      <sharedItems count="33">
        <s v="1-Jan"/>
        <s v="2-Jan"/>
        <s v="3-Jan"/>
        <s v="4-Jan"/>
        <s v="5-Jan"/>
        <s v="6-Jan"/>
        <s v="7-Jan"/>
        <s v="8-Jan"/>
        <s v="9-Jan"/>
        <s v="10-Jan"/>
        <s v="11-Jan"/>
        <s v="12-Jan"/>
        <s v="13-Jan"/>
        <s v="14-Jan"/>
        <s v="15-Jan"/>
        <s v="16-Jan"/>
        <s v="17-Jan"/>
        <s v="18-Jan"/>
        <s v="19-Jan"/>
        <s v="20-Jan"/>
        <s v="21-Jan"/>
        <s v="22-Jan"/>
        <s v="23-Jan"/>
        <s v="24-Jan"/>
        <s v="25-Jan"/>
        <s v="26-Jan"/>
        <s v="27-Jan"/>
        <s v="28-Jan"/>
        <s v="29-Jan"/>
        <s v="30-Jan"/>
        <s v="31-Jan"/>
        <s v="12-Mar" u="1"/>
        <s v="19-Mar"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90953703701" createdVersion="5" refreshedVersion="8" minRefreshableVersion="3" recordCount="0" supportSubquery="1" supportAdvancedDrill="1" xr:uid="{F449D05C-1344-449E-89FA-3D1F6C6997F3}">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90954513886" createdVersion="5" refreshedVersion="8" minRefreshableVersion="3" recordCount="0" supportSubquery="1" supportAdvancedDrill="1" xr:uid="{0AF2A032-C709-4E86-8F5F-B9A72683DF9B}">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90954861109" createdVersion="5" refreshedVersion="8" minRefreshableVersion="3" recordCount="0" supportSubquery="1" supportAdvancedDrill="1" xr:uid="{B273EA57-7675-4C3D-B3C4-FF08A9E57AEA}">
  <cacheSource type="external" connectionId="3"/>
  <cacheFields count="3">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90955439817" createdVersion="5" refreshedVersion="8" minRefreshableVersion="3" recordCount="0" supportSubquery="1" supportAdvancedDrill="1" xr:uid="{F564A200-7883-47A9-B3A2-E310904A54A0}">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9095578704" createdVersion="5" refreshedVersion="8" minRefreshableVersion="3" recordCount="0" supportSubquery="1" supportAdvancedDrill="1" xr:uid="{FCAC36AB-FD2A-4151-8A59-A57BBFD42553}">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90956134256" createdVersion="5" refreshedVersion="8" minRefreshableVersion="3" recordCount="0" supportSubquery="1" supportAdvancedDrill="1" xr:uid="{E20A7193-165B-470F-9FAA-7E597D2EA60C}">
  <cacheSource type="external" connectionId="3"/>
  <cacheFields count="3">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3"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90956481479" createdVersion="5" refreshedVersion="8" minRefreshableVersion="3" recordCount="0" supportSubquery="1" supportAdvancedDrill="1" xr:uid="{7D7B1FE6-B8B8-4280-B844-61FFE82B8111}">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3-02-01T00:00:00" count="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15060995371" createdVersion="3" refreshedVersion="8" minRefreshableVersion="3" recordCount="0" supportSubquery="1" supportAdvancedDrill="1" xr:uid="{CE42704E-D24C-4BAD-80B7-7390C5963CCB}">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6391092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Bhagat" refreshedDate="46038.51596365741" createdVersion="3" refreshedVersion="8" minRefreshableVersion="3" recordCount="0" supportSubquery="1" supportAdvancedDrill="1" xr:uid="{0F1013A7-F291-4C99-A5EB-5E89802D9274}">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441547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27BB72-21BA-42B1-9439-ED96C30ECE38}" name="PivotTable13" cacheId="11" applyNumberFormats="0" applyBorderFormats="0" applyFontFormats="0" applyPatternFormats="0" applyAlignmentFormats="0" applyWidthHeightFormats="1" dataCaption="Values" tag="46349675-16c4-46d1-8996-16d12c09b1a4" updatedVersion="8" minRefreshableVersion="3" subtotalHiddenItems="1" itemPrintTitles="1" createdVersion="5" indent="0" outline="1" outlineData="1" multipleFieldFilters="0" chartFormat="42">
  <location ref="A93:A95"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4">
    <format dxfId="3">
      <pivotArea outline="0" collapsedLevelsAreSubtotals="1"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2DE026-4948-4E03-8D81-E1E8727B6167}" name="PivotTable8" cacheId="10" applyNumberFormats="0" applyBorderFormats="0" applyFontFormats="0" applyPatternFormats="0" applyAlignmentFormats="0" applyWidthHeightFormats="1" dataCaption="Values" tag="46349675-16c4-46d1-8996-16d12c09b1a4" updatedVersion="8" minRefreshableVersion="3" subtotalHiddenItems="1" itemPrintTitles="1" createdVersion="5" indent="0" outline="1" outlineData="1" multipleFieldFilters="0" chartFormat="42">
  <location ref="A81:B90"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7"/>
    </i>
    <i>
      <x v="3"/>
    </i>
    <i>
      <x v="6"/>
    </i>
    <i>
      <x/>
    </i>
    <i>
      <x v="5"/>
    </i>
    <i>
      <x v="2"/>
    </i>
    <i>
      <x v="4"/>
    </i>
    <i t="grand">
      <x/>
    </i>
  </rowItems>
  <colItems count="1">
    <i/>
  </colItems>
  <dataFields count="1">
    <dataField name="Count of Patient Id" fld="2" subtotal="count" baseField="0" baseItem="0"/>
  </dataFields>
  <formats count="5">
    <format dxfId="8">
      <pivotArea outline="0" collapsedLevelsAreSubtotals="1"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4">
      <pivotArea collapsedLevelsAreSubtotals="1" fieldPosition="0">
        <references count="1">
          <reference field="1" count="0"/>
        </references>
      </pivotArea>
    </format>
  </formats>
  <chartFormats count="1">
    <chartFormat chart="4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98FF51-ADBF-459E-BD3C-C4109A60503F}" name="PivotTable10" cacheId="8" applyNumberFormats="0" applyBorderFormats="0" applyFontFormats="0" applyPatternFormats="0" applyAlignmentFormats="0" applyWidthHeightFormats="1" dataCaption="Values" tag="46349675-16c4-46d1-8996-16d12c09b1a4" updatedVersion="8" minRefreshableVersion="3" subtotalHiddenItems="1" itemPrintTitles="1" createdVersion="5" indent="0" outline="1" outlineData="1" multipleFieldFilters="0" chartFormat="22">
  <location ref="A67: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1" baseItem="0"/>
  </dataFields>
  <formats count="5">
    <format dxfId="13">
      <pivotArea outline="0" collapsedLevelsAreSubtotals="1"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 dxfId="9">
      <pivotArea collapsedLevelsAreSubtotals="1" fieldPosition="0">
        <references count="1">
          <reference field="1" count="0"/>
        </references>
      </pivotArea>
    </format>
  </formats>
  <chartFormats count="9">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 count="1" selected="0">
            <x v="0"/>
          </reference>
        </references>
      </pivotArea>
    </chartFormat>
    <chartFormat chart="14" format="8">
      <pivotArea type="data" outline="0" fieldPosition="0">
        <references count="2">
          <reference field="4294967294" count="1" selected="0">
            <x v="0"/>
          </reference>
          <reference field="1" count="1" selected="0">
            <x v="1"/>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1" count="1" selected="0">
            <x v="0"/>
          </reference>
        </references>
      </pivotArea>
    </chartFormat>
    <chartFormat chart="17" format="5">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678B73-9993-4382-89D0-3FE3614D4320}" name="PivotTable3" cacheId="2" applyNumberFormats="0" applyBorderFormats="0" applyFontFormats="0" applyPatternFormats="0" applyAlignmentFormats="0" applyWidthHeightFormats="1" dataCaption="Values" tag="ed4f9159-0c99-4a58-90b0-f5f0319634d2"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17">
      <pivotArea outline="0" collapsedLevelsAreSubtotals="1"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3F617A-EDB8-4E18-92A8-759EE75CEEFB}" name="PivotTable1" cacheId="0" applyNumberFormats="0" applyBorderFormats="0" applyFontFormats="0" applyPatternFormats="0" applyAlignmentFormats="0" applyWidthHeightFormats="1" dataCaption="Values" tag="8236b0e5-a7d1-402b-838e-447d996a6b75" updatedVersion="8" minRefreshableVersion="3" useAutoFormatting="1" subtotalHiddenItems="1" itemPrintTitles="1" createdVersion="5" indent="0" outline="1" outlineData="1" multipleFieldFilters="0" chartFormat="20">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7">
    <format dxfId="24">
      <pivotArea field="1" type="button" dataOnly="0" labelOnly="1" outline="0" axis="axisRow" fieldPosition="0"/>
    </format>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grandRow="1" outline="0" fieldPosition="0"/>
    </format>
    <format dxfId="18">
      <pivotArea dataOnly="0" labelOnly="1" outline="0" axis="axisValues" fieldPosition="0"/>
    </format>
  </formats>
  <chartFormats count="3">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39D557-FB24-4104-BEBE-1FE715ECF6DF}" name="PivotTable5" cacheId="4" applyNumberFormats="0" applyBorderFormats="0" applyFontFormats="0" applyPatternFormats="0" applyAlignmentFormats="0" applyWidthHeightFormats="1" dataCaption="Values" tag="8236b0e5-a7d1-402b-838e-447d996a6b75" updatedVersion="8" minRefreshableVersion="3" useAutoFormatting="1" subtotalHiddenItems="1" itemPrintTitles="1" createdVersion="5" indent="0" outline="1" outlineData="1" multipleFieldFilters="0" chartFormat="32">
  <location ref="F4:G36" firstHeaderRow="1" firstDataRow="1" firstDataCol="1"/>
  <pivotFields count="4">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9">
    <format dxfId="33">
      <pivotArea field="0" type="button" dataOnly="0" labelOnly="1" outline="0" axis="axisRow" fieldPosition="0"/>
    </format>
    <format dxfId="32">
      <pivotArea outline="0" collapsedLevelsAreSubtotals="1" fieldPosition="0"/>
    </format>
    <format dxfId="31">
      <pivotArea grandRow="1" outline="0" collapsedLevelsAreSubtotals="1" fieldPosition="0"/>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 dxfId="26">
      <pivotArea dataOnly="0" labelOnly="1" grandRow="1" outline="0" fieldPosition="0"/>
    </format>
    <format dxfId="25">
      <pivotArea dataOnly="0" labelOnly="1" outline="0" axis="axisValues" fieldPosition="0"/>
    </format>
  </formats>
  <chartFormats count="6">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0" count="1" selected="0">
            <x v="31"/>
          </reference>
        </references>
      </pivotArea>
    </chartFormat>
    <chartFormat chart="26" format="5">
      <pivotArea type="data" outline="0" fieldPosition="0">
        <references count="2">
          <reference field="4294967294" count="1" selected="0">
            <x v="0"/>
          </reference>
          <reference field="0" count="1" selected="0">
            <x v="32"/>
          </reference>
        </references>
      </pivotArea>
    </chartFormat>
    <chartFormat chart="31"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32A1DD-0D8F-4427-8E75-23E5A7323FD8}" name="PivotTable7" cacheId="6" applyNumberFormats="0" applyBorderFormats="0" applyFontFormats="0" applyPatternFormats="0" applyAlignmentFormats="0" applyWidthHeightFormats="1" dataCaption="Values" tag="46349675-16c4-46d1-8996-16d12c09b1a4" updatedVersion="8" minRefreshableVersion="3" subtotalHiddenItems="1" itemPrintTitles="1" createdVersion="5" indent="0" outline="1" outlineData="1" multipleFieldFilters="0" chartFormat="2">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6">
    <format dxfId="39">
      <pivotArea outline="0" collapsedLevelsAreSubtotals="1"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collapsedLevelsAreSubtotals="1" fieldPosition="0">
        <references count="1">
          <reference field="2" count="0"/>
        </references>
      </pivotArea>
    </format>
    <format dxfId="3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435FDB-0C9E-4CF1-B611-B2E881E4928B}" name="PivotTable4" cacheId="3" applyNumberFormats="0" applyBorderFormats="0" applyFontFormats="0" applyPatternFormats="0" applyAlignmentFormats="0" applyWidthHeightFormats="1" dataCaption="Values" tag="46349675-16c4-46d1-8996-16d12c09b1a4" updatedVersion="8" minRefreshableVersion="3" useAutoFormatting="1"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4">
    <format dxfId="43">
      <pivotArea outline="0" collapsedLevelsAreSubtotals="1"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216239-07F7-4EA2-A4D3-A103AA9A5E88}" name="PivotTable11" cacheId="9" applyNumberFormats="0" applyBorderFormats="0" applyFontFormats="0" applyPatternFormats="0" applyAlignmentFormats="0" applyWidthHeightFormats="1" dataCaption="Values" tag="46349675-16c4-46d1-8996-16d12c09b1a4" updatedVersion="8" minRefreshableVersion="3" subtotalHiddenItems="1" itemPrintTitles="1" createdVersion="5" indent="0" outline="1" outlineData="1" multipleFieldFilters="0" chartFormat="31">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5">
    <format dxfId="48">
      <pivotArea outline="0" collapsedLevelsAreSubtotals="1"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collapsedLevelsAreSubtotals="1" fieldPosition="0">
        <references count="1">
          <reference field="1" count="0"/>
        </references>
      </pivotArea>
    </format>
  </formats>
  <chartFormats count="3">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 count="1" selected="0">
            <x v="0"/>
          </reference>
        </references>
      </pivotArea>
    </chartFormat>
    <chartFormat chart="24"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A53E8B-1020-47FF-A3A2-D66C6C334C63}" name="PivotTable2" cacheId="1" applyNumberFormats="0" applyBorderFormats="0" applyFontFormats="0" applyPatternFormats="0" applyAlignmentFormats="0" applyWidthHeightFormats="1" dataCaption="Values" tag="1d423f85-0ddc-457b-aaac-d6d9de336863"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51">
      <pivotArea type="all" dataOnly="0" outline="0" fieldPosition="0"/>
    </format>
    <format dxfId="50">
      <pivotArea outline="0" collapsedLevelsAreSubtotals="1" fieldPosition="0"/>
    </format>
    <format dxfId="49">
      <pivotArea dataOnly="0" labelOnly="1" outline="0" axis="axisValues"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FCECA7-874D-4FF9-9265-E707DB1D037C}" name="PivotTable6" cacheId="5" applyNumberFormats="0" applyBorderFormats="0" applyFontFormats="0" applyPatternFormats="0" applyAlignmentFormats="0" applyWidthHeightFormats="1" dataCaption="Values" tag="8236b0e5-a7d1-402b-838e-447d996a6b75" updatedVersion="8" minRefreshableVersion="3" useAutoFormatting="1" subtotalHiddenItems="1" itemPrintTitles="1" createdVersion="5" indent="0" outline="1" outlineData="1" multipleFieldFilters="0" chartFormat="44">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9">
    <format dxfId="60">
      <pivotArea field="0" type="button" dataOnly="0" labelOnly="1" outline="0" axis="axisRow" fieldPosition="0"/>
    </format>
    <format dxfId="59">
      <pivotArea outline="0" collapsedLevelsAreSubtotals="1" fieldPosition="0"/>
    </format>
    <format dxfId="58">
      <pivotArea grandRow="1" outline="0" collapsedLevelsAreSubtotals="1" fieldPosition="0"/>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outline="0" axis="axisValues" fieldPosition="0"/>
    </format>
  </formats>
  <chartFormats count="4">
    <chartFormat chart="36"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3F63F8-4B79-4E01-A3F5-F26D93A46084}" name="PivotTable9" cacheId="7" applyNumberFormats="0" applyBorderFormats="0" applyFontFormats="0" applyPatternFormats="0" applyAlignmentFormats="0" applyWidthHeightFormats="1" dataCaption="Values" tag="46349675-16c4-46d1-8996-16d12c09b1a4" updatedVersion="8" minRefreshableVersion="3" subtotalHiddenItems="1" itemPrintTitles="1" createdVersion="5" indent="0" outline="1" outlineData="1" multipleFieldFilters="0" chartFormat="10">
  <location ref="A53:B6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5">
    <format dxfId="65">
      <pivotArea outline="0" collapsedLevelsAreSubtotals="1" fieldPosition="0"/>
    </format>
    <format dxfId="64">
      <pivotArea type="all" dataOnly="0" outline="0" fieldPosition="0"/>
    </format>
    <format dxfId="63">
      <pivotArea outline="0" collapsedLevelsAreSubtotals="1" fieldPosition="0"/>
    </format>
    <format dxfId="62">
      <pivotArea dataOnly="0" labelOnly="1" outline="0" axis="axisValues" fieldPosition="0"/>
    </format>
    <format dxfId="61">
      <pivotArea collapsedLevelsAreSubtotals="1" fieldPosition="0">
        <references count="1">
          <reference field="1" count="0"/>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5EE2C2B-A3B2-4B3E-B4DB-577CB7BBF2C6}" sourceName="[Calendar_Table].[Date (Month)]">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 tabId="2" name="PivotTable10"/>
    <pivotTable tabId="2" name="PivotTable11"/>
    <pivotTable tabId="2" name="PivotTable8"/>
    <pivotTable tabId="2" name="PivotTable13"/>
  </pivotTables>
  <data>
    <olap pivotCacheId="136391092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22DB8AA-A06D-4B87-BE39-3D05A7318385}" sourceName="[Calendar_Table].[Date (Year)]">
  <pivotTables>
    <pivotTable tabId="2" name="PivotTable13"/>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s>
  <data>
    <olap pivotCacheId="204415474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8CE2005-8B50-4112-86EF-CEB147B32766}" cache="Slicer_Date__Month" caption="Date (Month)" showCaption="0" level="1" style="My Style" rowHeight="140400"/>
  <slicer name="Date (Year) 1" xr10:uid="{95CC4B5F-069D-4254-BDC0-58F64D77C7A8}" cache="Slicer_Date__Year" caption="Select Year" columnCount="2" showCaption="0" level="1" style="SlicerStyleDark2" rowHeight="248400"/>
  <slicer name="Date (Year) 2" xr10:uid="{AD4CB61A-9013-40B3-9E7C-F7F321BA96E7}" cache="Slicer_Date__Year" caption="Date (Year)" columnCount="2" showCaption="0" level="1" style="new slicer"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F1CD8-463E-41E9-B50E-267D6C5EDA79}">
  <dimension ref="A3:J95"/>
  <sheetViews>
    <sheetView topLeftCell="A28" zoomScale="130" zoomScaleNormal="130" zoomScaleSheetLayoutView="80" workbookViewId="0">
      <selection activeCell="C96" sqref="C96"/>
    </sheetView>
  </sheetViews>
  <sheetFormatPr defaultRowHeight="14.4" x14ac:dyDescent="0.3"/>
  <cols>
    <col min="1" max="1" width="32.5546875" bestFit="1" customWidth="1"/>
    <col min="2" max="2" width="11.77734375" customWidth="1"/>
    <col min="3" max="3" width="12.5546875" bestFit="1" customWidth="1"/>
    <col min="4" max="4" width="24" bestFit="1" customWidth="1"/>
    <col min="5" max="5" width="10.44140625" bestFit="1" customWidth="1"/>
    <col min="6" max="6" width="12.5546875" bestFit="1" customWidth="1"/>
    <col min="7" max="7" width="25.33203125" bestFit="1" customWidth="1"/>
    <col min="8" max="8" width="24.21875" bestFit="1" customWidth="1"/>
    <col min="9" max="9" width="12.5546875" bestFit="1" customWidth="1"/>
    <col min="10" max="10" width="32.5546875" bestFit="1" customWidth="1"/>
    <col min="11" max="582" width="10.44140625" bestFit="1" customWidth="1"/>
    <col min="583" max="583" width="11.109375" bestFit="1" customWidth="1"/>
  </cols>
  <sheetData>
    <row r="3" spans="1:10" x14ac:dyDescent="0.3">
      <c r="A3" t="s">
        <v>1</v>
      </c>
      <c r="C3" s="15" t="s">
        <v>7</v>
      </c>
      <c r="D3" s="15"/>
      <c r="F3" s="16" t="s">
        <v>9</v>
      </c>
      <c r="G3" s="16"/>
      <c r="I3" s="16" t="s">
        <v>10</v>
      </c>
      <c r="J3" s="16"/>
    </row>
    <row r="4" spans="1:10" x14ac:dyDescent="0.3">
      <c r="A4" s="4" t="s">
        <v>0</v>
      </c>
      <c r="C4" s="3" t="s">
        <v>5</v>
      </c>
      <c r="D4" s="4" t="s">
        <v>0</v>
      </c>
      <c r="F4" s="3" t="s">
        <v>5</v>
      </c>
      <c r="G4" s="4" t="s">
        <v>2</v>
      </c>
      <c r="I4" s="3" t="s">
        <v>5</v>
      </c>
      <c r="J4" s="4" t="s">
        <v>3</v>
      </c>
    </row>
    <row r="5" spans="1:10" x14ac:dyDescent="0.3">
      <c r="A5" s="4">
        <v>513</v>
      </c>
      <c r="C5" s="5" t="s">
        <v>19</v>
      </c>
      <c r="D5" s="4">
        <v>19</v>
      </c>
      <c r="F5" s="5" t="s">
        <v>19</v>
      </c>
      <c r="G5" s="6">
        <v>37.789473684210527</v>
      </c>
      <c r="I5" s="5" t="s">
        <v>19</v>
      </c>
      <c r="J5" s="6">
        <v>6.666666666666667</v>
      </c>
    </row>
    <row r="6" spans="1:10" x14ac:dyDescent="0.3">
      <c r="C6" s="5" t="s">
        <v>20</v>
      </c>
      <c r="D6" s="4">
        <v>14</v>
      </c>
      <c r="F6" s="5" t="s">
        <v>20</v>
      </c>
      <c r="G6" s="6">
        <v>38.214285714285715</v>
      </c>
      <c r="I6" s="5" t="s">
        <v>20</v>
      </c>
      <c r="J6" s="6">
        <v>3.5</v>
      </c>
    </row>
    <row r="7" spans="1:10" x14ac:dyDescent="0.3">
      <c r="C7" s="5" t="s">
        <v>21</v>
      </c>
      <c r="D7" s="4">
        <v>13</v>
      </c>
      <c r="F7" s="5" t="s">
        <v>21</v>
      </c>
      <c r="G7" s="6">
        <v>40.92307692307692</v>
      </c>
      <c r="I7" s="5" t="s">
        <v>21</v>
      </c>
      <c r="J7" s="6">
        <v>4.5</v>
      </c>
    </row>
    <row r="8" spans="1:10" x14ac:dyDescent="0.3">
      <c r="A8" s="4" t="s">
        <v>2</v>
      </c>
      <c r="C8" s="5" t="s">
        <v>22</v>
      </c>
      <c r="D8" s="4">
        <v>22</v>
      </c>
      <c r="F8" s="5" t="s">
        <v>22</v>
      </c>
      <c r="G8" s="6">
        <v>34.5</v>
      </c>
      <c r="I8" s="5" t="s">
        <v>22</v>
      </c>
      <c r="J8" s="6">
        <v>4.8</v>
      </c>
    </row>
    <row r="9" spans="1:10" x14ac:dyDescent="0.3">
      <c r="A9" s="6">
        <v>36.323586744639378</v>
      </c>
      <c r="C9" s="5" t="s">
        <v>23</v>
      </c>
      <c r="D9" s="4">
        <v>19</v>
      </c>
      <c r="F9" s="5" t="s">
        <v>23</v>
      </c>
      <c r="G9" s="6">
        <v>30.684210526315791</v>
      </c>
      <c r="I9" s="5" t="s">
        <v>23</v>
      </c>
      <c r="J9" s="6">
        <v>7.75</v>
      </c>
    </row>
    <row r="10" spans="1:10" x14ac:dyDescent="0.3">
      <c r="C10" s="5" t="s">
        <v>24</v>
      </c>
      <c r="D10" s="4">
        <v>15</v>
      </c>
      <c r="F10" s="5" t="s">
        <v>24</v>
      </c>
      <c r="G10" s="6">
        <v>37.666666666666664</v>
      </c>
      <c r="I10" s="5" t="s">
        <v>24</v>
      </c>
      <c r="J10" s="6">
        <v>6.2</v>
      </c>
    </row>
    <row r="11" spans="1:10" x14ac:dyDescent="0.3">
      <c r="C11" s="5" t="s">
        <v>25</v>
      </c>
      <c r="D11" s="4">
        <v>12</v>
      </c>
      <c r="F11" s="5" t="s">
        <v>25</v>
      </c>
      <c r="G11" s="6">
        <v>36.083333333333336</v>
      </c>
      <c r="I11" s="5" t="s">
        <v>25</v>
      </c>
      <c r="J11" s="6">
        <v>3.75</v>
      </c>
    </row>
    <row r="12" spans="1:10" x14ac:dyDescent="0.3">
      <c r="A12" s="4" t="s">
        <v>3</v>
      </c>
      <c r="C12" s="5" t="s">
        <v>26</v>
      </c>
      <c r="D12" s="4">
        <v>21</v>
      </c>
      <c r="F12" s="5" t="s">
        <v>26</v>
      </c>
      <c r="G12" s="6">
        <v>43.523809523809526</v>
      </c>
      <c r="I12" s="5" t="s">
        <v>26</v>
      </c>
      <c r="J12" s="6">
        <v>6.5</v>
      </c>
    </row>
    <row r="13" spans="1:10" x14ac:dyDescent="0.3">
      <c r="A13" s="6">
        <v>4.9591836734693882</v>
      </c>
      <c r="C13" s="5" t="s">
        <v>27</v>
      </c>
      <c r="D13" s="4">
        <v>12</v>
      </c>
      <c r="F13" s="5" t="s">
        <v>27</v>
      </c>
      <c r="G13" s="6">
        <v>29.5</v>
      </c>
      <c r="I13" s="5" t="s">
        <v>27</v>
      </c>
      <c r="J13" s="6">
        <v>3</v>
      </c>
    </row>
    <row r="14" spans="1:10" x14ac:dyDescent="0.3">
      <c r="C14" s="5" t="s">
        <v>28</v>
      </c>
      <c r="D14" s="4">
        <v>13</v>
      </c>
      <c r="F14" s="5" t="s">
        <v>28</v>
      </c>
      <c r="G14" s="6">
        <v>38.07692307692308</v>
      </c>
      <c r="I14" s="5" t="s">
        <v>28</v>
      </c>
      <c r="J14" s="6">
        <v>4.5</v>
      </c>
    </row>
    <row r="15" spans="1:10" x14ac:dyDescent="0.3">
      <c r="C15" s="5" t="s">
        <v>29</v>
      </c>
      <c r="D15" s="4">
        <v>13</v>
      </c>
      <c r="F15" s="5" t="s">
        <v>29</v>
      </c>
      <c r="G15" s="6">
        <v>35.846153846153847</v>
      </c>
      <c r="I15" s="5" t="s">
        <v>29</v>
      </c>
      <c r="J15" s="6">
        <v>6</v>
      </c>
    </row>
    <row r="16" spans="1:10" x14ac:dyDescent="0.3">
      <c r="C16" s="5" t="s">
        <v>30</v>
      </c>
      <c r="D16" s="4">
        <v>16</v>
      </c>
      <c r="F16" s="5" t="s">
        <v>30</v>
      </c>
      <c r="G16" s="6">
        <v>32.625</v>
      </c>
      <c r="I16" s="5" t="s">
        <v>30</v>
      </c>
      <c r="J16" s="6">
        <v>5.2</v>
      </c>
    </row>
    <row r="17" spans="3:10" x14ac:dyDescent="0.3">
      <c r="C17" s="5" t="s">
        <v>31</v>
      </c>
      <c r="D17" s="4">
        <v>20</v>
      </c>
      <c r="F17" s="5" t="s">
        <v>31</v>
      </c>
      <c r="G17" s="6">
        <v>39.200000000000003</v>
      </c>
      <c r="I17" s="5" t="s">
        <v>31</v>
      </c>
      <c r="J17" s="6">
        <v>4.4000000000000004</v>
      </c>
    </row>
    <row r="18" spans="3:10" x14ac:dyDescent="0.3">
      <c r="C18" s="5" t="s">
        <v>32</v>
      </c>
      <c r="D18" s="4">
        <v>25</v>
      </c>
      <c r="F18" s="5" t="s">
        <v>32</v>
      </c>
      <c r="G18" s="6">
        <v>35.28</v>
      </c>
      <c r="I18" s="5" t="s">
        <v>32</v>
      </c>
      <c r="J18" s="6">
        <v>3.4545454545454546</v>
      </c>
    </row>
    <row r="19" spans="3:10" x14ac:dyDescent="0.3">
      <c r="C19" s="5" t="s">
        <v>33</v>
      </c>
      <c r="D19" s="4">
        <v>20</v>
      </c>
      <c r="F19" s="5" t="s">
        <v>33</v>
      </c>
      <c r="G19" s="6">
        <v>32.549999999999997</v>
      </c>
      <c r="I19" s="5" t="s">
        <v>33</v>
      </c>
      <c r="J19" s="6">
        <v>4.4000000000000004</v>
      </c>
    </row>
    <row r="20" spans="3:10" x14ac:dyDescent="0.3">
      <c r="C20" s="5" t="s">
        <v>34</v>
      </c>
      <c r="D20" s="4">
        <v>14</v>
      </c>
      <c r="F20" s="5" t="s">
        <v>34</v>
      </c>
      <c r="G20" s="6">
        <v>35.642857142857146</v>
      </c>
      <c r="I20" s="5" t="s">
        <v>34</v>
      </c>
      <c r="J20" s="6">
        <v>5.833333333333333</v>
      </c>
    </row>
    <row r="21" spans="3:10" x14ac:dyDescent="0.3">
      <c r="C21" s="5" t="s">
        <v>35</v>
      </c>
      <c r="D21" s="4">
        <v>17</v>
      </c>
      <c r="F21" s="5" t="s">
        <v>35</v>
      </c>
      <c r="G21" s="6">
        <v>38.764705882352942</v>
      </c>
      <c r="I21" s="5" t="s">
        <v>35</v>
      </c>
      <c r="J21" s="6">
        <v>4.4444444444444446</v>
      </c>
    </row>
    <row r="22" spans="3:10" x14ac:dyDescent="0.3">
      <c r="C22" s="5" t="s">
        <v>36</v>
      </c>
      <c r="D22" s="4">
        <v>20</v>
      </c>
      <c r="F22" s="5" t="s">
        <v>36</v>
      </c>
      <c r="G22" s="6">
        <v>39.9</v>
      </c>
      <c r="I22" s="5" t="s">
        <v>36</v>
      </c>
      <c r="J22" s="6">
        <v>5.333333333333333</v>
      </c>
    </row>
    <row r="23" spans="3:10" x14ac:dyDescent="0.3">
      <c r="C23" s="5" t="s">
        <v>37</v>
      </c>
      <c r="D23" s="4">
        <v>10</v>
      </c>
      <c r="F23" s="5" t="s">
        <v>37</v>
      </c>
      <c r="G23" s="6">
        <v>41.6</v>
      </c>
      <c r="I23" s="5" t="s">
        <v>37</v>
      </c>
      <c r="J23" s="6">
        <v>5.333333333333333</v>
      </c>
    </row>
    <row r="24" spans="3:10" x14ac:dyDescent="0.3">
      <c r="C24" s="5" t="s">
        <v>38</v>
      </c>
      <c r="D24" s="4">
        <v>17</v>
      </c>
      <c r="F24" s="5" t="s">
        <v>38</v>
      </c>
      <c r="G24" s="6">
        <v>39.470588235294116</v>
      </c>
      <c r="I24" s="5" t="s">
        <v>38</v>
      </c>
      <c r="J24" s="6">
        <v>5.5714285714285712</v>
      </c>
    </row>
    <row r="25" spans="3:10" x14ac:dyDescent="0.3">
      <c r="C25" s="5" t="s">
        <v>39</v>
      </c>
      <c r="D25" s="4">
        <v>15</v>
      </c>
      <c r="F25" s="5" t="s">
        <v>39</v>
      </c>
      <c r="G25" s="6">
        <v>27.733333333333334</v>
      </c>
      <c r="I25" s="5" t="s">
        <v>39</v>
      </c>
      <c r="J25" s="6">
        <v>5</v>
      </c>
    </row>
    <row r="26" spans="3:10" x14ac:dyDescent="0.3">
      <c r="C26" s="5" t="s">
        <v>40</v>
      </c>
      <c r="D26" s="4">
        <v>16</v>
      </c>
      <c r="F26" s="5" t="s">
        <v>40</v>
      </c>
      <c r="G26" s="6">
        <v>36.875</v>
      </c>
      <c r="I26" s="5" t="s">
        <v>40</v>
      </c>
      <c r="J26" s="6">
        <v>6.4</v>
      </c>
    </row>
    <row r="27" spans="3:10" x14ac:dyDescent="0.3">
      <c r="C27" s="5" t="s">
        <v>41</v>
      </c>
      <c r="D27" s="4">
        <v>18</v>
      </c>
      <c r="F27" s="5" t="s">
        <v>41</v>
      </c>
      <c r="G27" s="6">
        <v>40.333333333333336</v>
      </c>
      <c r="I27" s="5" t="s">
        <v>41</v>
      </c>
      <c r="J27" s="6">
        <v>5.333333333333333</v>
      </c>
    </row>
    <row r="28" spans="3:10" x14ac:dyDescent="0.3">
      <c r="C28" s="5" t="s">
        <v>42</v>
      </c>
      <c r="D28" s="4">
        <v>16</v>
      </c>
      <c r="F28" s="5" t="s">
        <v>42</v>
      </c>
      <c r="G28" s="6">
        <v>36.5</v>
      </c>
      <c r="I28" s="5" t="s">
        <v>42</v>
      </c>
      <c r="J28" s="6">
        <v>3.75</v>
      </c>
    </row>
    <row r="29" spans="3:10" x14ac:dyDescent="0.3">
      <c r="C29" s="5" t="s">
        <v>43</v>
      </c>
      <c r="D29" s="4">
        <v>15</v>
      </c>
      <c r="F29" s="5" t="s">
        <v>43</v>
      </c>
      <c r="G29" s="6">
        <v>32.866666666666667</v>
      </c>
      <c r="I29" s="5" t="s">
        <v>43</v>
      </c>
      <c r="J29" s="6">
        <v>6.333333333333333</v>
      </c>
    </row>
    <row r="30" spans="3:10" x14ac:dyDescent="0.3">
      <c r="C30" s="5" t="s">
        <v>44</v>
      </c>
      <c r="D30" s="4">
        <v>14</v>
      </c>
      <c r="F30" s="5" t="s">
        <v>44</v>
      </c>
      <c r="G30" s="6">
        <v>36.642857142857146</v>
      </c>
      <c r="I30" s="5" t="s">
        <v>44</v>
      </c>
      <c r="J30" s="6">
        <v>10</v>
      </c>
    </row>
    <row r="31" spans="3:10" x14ac:dyDescent="0.3">
      <c r="C31" s="5" t="s">
        <v>45</v>
      </c>
      <c r="D31" s="4">
        <v>16</v>
      </c>
      <c r="F31" s="5" t="s">
        <v>45</v>
      </c>
      <c r="G31" s="6">
        <v>36.5625</v>
      </c>
      <c r="I31" s="5" t="s">
        <v>45</v>
      </c>
      <c r="J31" s="6">
        <v>5</v>
      </c>
    </row>
    <row r="32" spans="3:10" x14ac:dyDescent="0.3">
      <c r="C32" s="5" t="s">
        <v>46</v>
      </c>
      <c r="D32" s="4">
        <v>20</v>
      </c>
      <c r="F32" s="5" t="s">
        <v>46</v>
      </c>
      <c r="G32" s="6">
        <v>32.15</v>
      </c>
      <c r="I32" s="5" t="s">
        <v>46</v>
      </c>
      <c r="J32" s="6">
        <v>5.333333333333333</v>
      </c>
    </row>
    <row r="33" spans="1:10" x14ac:dyDescent="0.3">
      <c r="C33" s="5" t="s">
        <v>47</v>
      </c>
      <c r="D33" s="4">
        <v>19</v>
      </c>
      <c r="F33" s="5" t="s">
        <v>47</v>
      </c>
      <c r="G33" s="6">
        <v>38.368421052631582</v>
      </c>
      <c r="I33" s="5" t="s">
        <v>47</v>
      </c>
      <c r="J33" s="6">
        <v>4.8</v>
      </c>
    </row>
    <row r="34" spans="1:10" x14ac:dyDescent="0.3">
      <c r="C34" s="5" t="s">
        <v>48</v>
      </c>
      <c r="D34" s="4">
        <v>14</v>
      </c>
      <c r="F34" s="5" t="s">
        <v>48</v>
      </c>
      <c r="G34" s="6">
        <v>33.071428571428569</v>
      </c>
      <c r="I34" s="5" t="s">
        <v>48</v>
      </c>
      <c r="J34" s="6">
        <v>5</v>
      </c>
    </row>
    <row r="35" spans="1:10" x14ac:dyDescent="0.3">
      <c r="C35" s="5" t="s">
        <v>49</v>
      </c>
      <c r="D35" s="4">
        <v>18</v>
      </c>
      <c r="F35" s="5" t="s">
        <v>49</v>
      </c>
      <c r="G35" s="6">
        <v>36.444444444444443</v>
      </c>
      <c r="I35" s="5" t="s">
        <v>49</v>
      </c>
      <c r="J35" s="6">
        <v>1.4</v>
      </c>
    </row>
    <row r="36" spans="1:10" x14ac:dyDescent="0.3">
      <c r="C36" s="5" t="s">
        <v>4</v>
      </c>
      <c r="D36" s="4">
        <v>513</v>
      </c>
      <c r="F36" s="5" t="s">
        <v>4</v>
      </c>
      <c r="G36" s="7">
        <v>36.323586744639378</v>
      </c>
      <c r="I36" s="5" t="s">
        <v>4</v>
      </c>
      <c r="J36" s="7">
        <v>4.9591836734693882</v>
      </c>
    </row>
    <row r="39" spans="1:10" x14ac:dyDescent="0.3">
      <c r="A39" s="3" t="s">
        <v>5</v>
      </c>
      <c r="B39" s="4" t="s">
        <v>14</v>
      </c>
      <c r="C39" s="4" t="s">
        <v>15</v>
      </c>
    </row>
    <row r="40" spans="1:10" x14ac:dyDescent="0.3">
      <c r="A40" s="5" t="s">
        <v>12</v>
      </c>
      <c r="B40" s="8">
        <v>269</v>
      </c>
      <c r="C40" s="9">
        <v>0.52436647173489281</v>
      </c>
    </row>
    <row r="41" spans="1:10" x14ac:dyDescent="0.3">
      <c r="A41" s="5" t="s">
        <v>13</v>
      </c>
      <c r="B41" s="8">
        <v>244</v>
      </c>
      <c r="C41" s="9">
        <v>0.47563352826510719</v>
      </c>
    </row>
    <row r="42" spans="1:10" x14ac:dyDescent="0.3">
      <c r="A42" s="5" t="s">
        <v>4</v>
      </c>
      <c r="B42" s="6">
        <v>513</v>
      </c>
      <c r="C42" s="9">
        <v>1</v>
      </c>
    </row>
    <row r="46" spans="1:10" x14ac:dyDescent="0.3">
      <c r="A46" s="13" t="s">
        <v>16</v>
      </c>
      <c r="B46" s="13" t="s">
        <v>18</v>
      </c>
      <c r="C46" s="13" t="s">
        <v>17</v>
      </c>
      <c r="D46" s="10"/>
    </row>
    <row r="47" spans="1:10" x14ac:dyDescent="0.3">
      <c r="A47" s="11" t="str">
        <f>A41</f>
        <v>not admitted</v>
      </c>
      <c r="B47" s="11">
        <f>B41</f>
        <v>244</v>
      </c>
      <c r="C47" s="12">
        <f>C41</f>
        <v>0.47563352826510719</v>
      </c>
    </row>
    <row r="48" spans="1:10" x14ac:dyDescent="0.3">
      <c r="A48" s="11" t="str">
        <f>A40</f>
        <v>admitted</v>
      </c>
      <c r="B48" s="11">
        <f>B40</f>
        <v>269</v>
      </c>
      <c r="C48" s="12">
        <f>C40</f>
        <v>0.52436647173489281</v>
      </c>
    </row>
    <row r="52" spans="1:2" x14ac:dyDescent="0.3">
      <c r="A52" t="s">
        <v>59</v>
      </c>
    </row>
    <row r="53" spans="1:2" x14ac:dyDescent="0.3">
      <c r="A53" s="3" t="s">
        <v>5</v>
      </c>
      <c r="B53" s="4" t="s">
        <v>58</v>
      </c>
    </row>
    <row r="54" spans="1:2" x14ac:dyDescent="0.3">
      <c r="A54" s="5" t="s">
        <v>50</v>
      </c>
      <c r="B54" s="8">
        <v>76</v>
      </c>
    </row>
    <row r="55" spans="1:2" x14ac:dyDescent="0.3">
      <c r="A55" s="5" t="s">
        <v>51</v>
      </c>
      <c r="B55" s="8">
        <v>69</v>
      </c>
    </row>
    <row r="56" spans="1:2" x14ac:dyDescent="0.3">
      <c r="A56" s="5" t="s">
        <v>52</v>
      </c>
      <c r="B56" s="8">
        <v>64</v>
      </c>
    </row>
    <row r="57" spans="1:2" x14ac:dyDescent="0.3">
      <c r="A57" s="5" t="s">
        <v>53</v>
      </c>
      <c r="B57" s="8">
        <v>59</v>
      </c>
    </row>
    <row r="58" spans="1:2" x14ac:dyDescent="0.3">
      <c r="A58" s="5" t="s">
        <v>54</v>
      </c>
      <c r="B58" s="8">
        <v>58</v>
      </c>
    </row>
    <row r="59" spans="1:2" x14ac:dyDescent="0.3">
      <c r="A59" s="5" t="s">
        <v>55</v>
      </c>
      <c r="B59" s="8">
        <v>66</v>
      </c>
    </row>
    <row r="60" spans="1:2" x14ac:dyDescent="0.3">
      <c r="A60" s="5" t="s">
        <v>56</v>
      </c>
      <c r="B60" s="8">
        <v>67</v>
      </c>
    </row>
    <row r="61" spans="1:2" x14ac:dyDescent="0.3">
      <c r="A61" s="5" t="s">
        <v>57</v>
      </c>
      <c r="B61" s="8">
        <v>54</v>
      </c>
    </row>
    <row r="62" spans="1:2" x14ac:dyDescent="0.3">
      <c r="A62" s="5" t="s">
        <v>4</v>
      </c>
      <c r="B62" s="6">
        <v>513</v>
      </c>
    </row>
    <row r="66" spans="1:2" x14ac:dyDescent="0.3">
      <c r="A66" t="s">
        <v>75</v>
      </c>
    </row>
    <row r="67" spans="1:2" x14ac:dyDescent="0.3">
      <c r="A67" s="3" t="s">
        <v>5</v>
      </c>
      <c r="B67" s="4" t="s">
        <v>62</v>
      </c>
    </row>
    <row r="68" spans="1:2" x14ac:dyDescent="0.3">
      <c r="A68" s="5" t="s">
        <v>60</v>
      </c>
      <c r="B68" s="8">
        <v>316</v>
      </c>
    </row>
    <row r="69" spans="1:2" x14ac:dyDescent="0.3">
      <c r="A69" s="5" t="s">
        <v>61</v>
      </c>
      <c r="B69" s="8">
        <v>197</v>
      </c>
    </row>
    <row r="70" spans="1:2" x14ac:dyDescent="0.3">
      <c r="A70" s="5" t="s">
        <v>4</v>
      </c>
      <c r="B70" s="6">
        <v>513</v>
      </c>
    </row>
    <row r="73" spans="1:2" x14ac:dyDescent="0.3">
      <c r="A73" s="14" t="s">
        <v>76</v>
      </c>
    </row>
    <row r="74" spans="1:2" x14ac:dyDescent="0.3">
      <c r="A74" s="3" t="s">
        <v>5</v>
      </c>
      <c r="B74" s="4" t="s">
        <v>62</v>
      </c>
    </row>
    <row r="75" spans="1:2" x14ac:dyDescent="0.3">
      <c r="A75" s="5" t="s">
        <v>63</v>
      </c>
      <c r="B75" s="8">
        <v>241</v>
      </c>
    </row>
    <row r="76" spans="1:2" x14ac:dyDescent="0.3">
      <c r="A76" s="5" t="s">
        <v>64</v>
      </c>
      <c r="B76" s="8">
        <v>272</v>
      </c>
    </row>
    <row r="77" spans="1:2" x14ac:dyDescent="0.3">
      <c r="A77" s="5" t="s">
        <v>4</v>
      </c>
      <c r="B77" s="6">
        <v>513</v>
      </c>
    </row>
    <row r="80" spans="1:2" x14ac:dyDescent="0.3">
      <c r="A80" s="14" t="s">
        <v>77</v>
      </c>
    </row>
    <row r="81" spans="1:2" x14ac:dyDescent="0.3">
      <c r="A81" s="3" t="s">
        <v>5</v>
      </c>
      <c r="B81" s="4" t="s">
        <v>73</v>
      </c>
    </row>
    <row r="82" spans="1:2" x14ac:dyDescent="0.3">
      <c r="A82" s="5" t="s">
        <v>66</v>
      </c>
      <c r="B82" s="8">
        <v>4</v>
      </c>
    </row>
    <row r="83" spans="1:2" x14ac:dyDescent="0.3">
      <c r="A83" s="5" t="s">
        <v>72</v>
      </c>
      <c r="B83" s="8">
        <v>5</v>
      </c>
    </row>
    <row r="84" spans="1:2" x14ac:dyDescent="0.3">
      <c r="A84" s="5" t="s">
        <v>68</v>
      </c>
      <c r="B84" s="8">
        <v>9</v>
      </c>
    </row>
    <row r="85" spans="1:2" x14ac:dyDescent="0.3">
      <c r="A85" s="5" t="s">
        <v>71</v>
      </c>
      <c r="B85" s="8">
        <v>14</v>
      </c>
    </row>
    <row r="86" spans="1:2" x14ac:dyDescent="0.3">
      <c r="A86" s="5" t="s">
        <v>65</v>
      </c>
      <c r="B86" s="8">
        <v>14</v>
      </c>
    </row>
    <row r="87" spans="1:2" x14ac:dyDescent="0.3">
      <c r="A87" s="5" t="s">
        <v>70</v>
      </c>
      <c r="B87" s="8">
        <v>65</v>
      </c>
    </row>
    <row r="88" spans="1:2" x14ac:dyDescent="0.3">
      <c r="A88" s="5" t="s">
        <v>67</v>
      </c>
      <c r="B88" s="8">
        <v>103</v>
      </c>
    </row>
    <row r="89" spans="1:2" x14ac:dyDescent="0.3">
      <c r="A89" s="5" t="s">
        <v>69</v>
      </c>
      <c r="B89" s="8">
        <v>299</v>
      </c>
    </row>
    <row r="90" spans="1:2" x14ac:dyDescent="0.3">
      <c r="A90" s="5" t="s">
        <v>4</v>
      </c>
      <c r="B90" s="6">
        <v>513</v>
      </c>
    </row>
    <row r="93" spans="1:2" x14ac:dyDescent="0.3">
      <c r="A93" s="3" t="s">
        <v>5</v>
      </c>
    </row>
    <row r="94" spans="1:2" x14ac:dyDescent="0.3">
      <c r="A94" s="5" t="s">
        <v>74</v>
      </c>
    </row>
    <row r="95" spans="1:2" x14ac:dyDescent="0.3">
      <c r="A95" s="5" t="s">
        <v>4</v>
      </c>
    </row>
  </sheetData>
  <mergeCells count="3">
    <mergeCell ref="C3:D3"/>
    <mergeCell ref="F3:G3"/>
    <mergeCell ref="I3:J3"/>
  </mergeCells>
  <pageMargins left="0.7" right="0.7" top="0.75" bottom="0.75" header="0.3" footer="0.3"/>
  <pageSetup orientation="landscape"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E45E3-5A1B-435F-BD0E-4CD02B8534AA}">
  <dimension ref="A15"/>
  <sheetViews>
    <sheetView zoomScale="160" zoomScaleNormal="160" workbookViewId="0">
      <selection activeCell="J17" sqref="J17"/>
    </sheetView>
  </sheetViews>
  <sheetFormatPr defaultRowHeight="14.4" x14ac:dyDescent="0.3"/>
  <cols>
    <col min="1" max="16384" width="8.88671875" style="1"/>
  </cols>
  <sheetData>
    <row r="15" s="1" customFormat="1" ht="15" customHeight="1"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28FDE-91AA-425D-9163-C43D131B47D4}">
  <dimension ref="E17:N17"/>
  <sheetViews>
    <sheetView zoomScale="130" zoomScaleNormal="130" workbookViewId="0"/>
  </sheetViews>
  <sheetFormatPr defaultRowHeight="14.4" x14ac:dyDescent="0.3"/>
  <cols>
    <col min="1" max="16384" width="8.88671875" style="1"/>
  </cols>
  <sheetData>
    <row r="17" spans="5:14" ht="15.6" x14ac:dyDescent="0.3">
      <c r="E17" s="2" t="s">
        <v>11</v>
      </c>
      <c r="F17" s="2"/>
      <c r="G17" s="2"/>
      <c r="H17" s="2"/>
      <c r="I17" s="2"/>
      <c r="J17" s="2"/>
      <c r="K17" s="2"/>
      <c r="L17" s="2"/>
      <c r="M17" s="2"/>
      <c r="N17"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FC9B6-81AC-4CB2-9ACF-58C7C06F7B4B}">
  <dimension ref="A1:R28"/>
  <sheetViews>
    <sheetView zoomScale="130" zoomScaleNormal="130" workbookViewId="0">
      <selection activeCell="F18" sqref="F18"/>
    </sheetView>
  </sheetViews>
  <sheetFormatPr defaultRowHeight="14.4" x14ac:dyDescent="0.3"/>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x14ac:dyDescent="0.3">
      <c r="A3" s="1"/>
      <c r="B3" s="1"/>
      <c r="C3" s="1"/>
      <c r="D3" s="1"/>
      <c r="E3" s="1"/>
      <c r="F3" s="1"/>
      <c r="G3" s="1"/>
      <c r="H3" s="1"/>
      <c r="I3" s="1"/>
      <c r="J3" s="1"/>
      <c r="K3" s="1"/>
      <c r="L3" s="1"/>
      <c r="M3" s="1"/>
      <c r="N3" s="1"/>
      <c r="O3" s="1"/>
      <c r="P3" s="1"/>
      <c r="Q3" s="1"/>
      <c r="R3" s="1"/>
    </row>
    <row r="4" spans="1:18"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x14ac:dyDescent="0.3">
      <c r="A6" s="1"/>
      <c r="B6" s="1"/>
      <c r="C6" s="1"/>
      <c r="D6" s="1"/>
      <c r="E6" s="1"/>
      <c r="F6" s="1"/>
      <c r="G6" s="1"/>
      <c r="H6" s="1"/>
      <c r="I6" s="1"/>
      <c r="J6" s="1"/>
      <c r="K6" s="1"/>
      <c r="L6" s="1"/>
      <c r="M6" s="1"/>
      <c r="N6" s="1"/>
      <c r="O6" s="1"/>
      <c r="P6" s="1"/>
      <c r="Q6" s="1"/>
      <c r="R6" s="1"/>
    </row>
    <row r="7" spans="1:18" x14ac:dyDescent="0.3">
      <c r="A7" s="1"/>
      <c r="B7" s="1"/>
      <c r="C7" s="1"/>
      <c r="D7" s="1"/>
      <c r="E7" s="1"/>
      <c r="F7" s="1"/>
      <c r="G7" s="1"/>
      <c r="H7" s="1"/>
      <c r="I7" s="1"/>
      <c r="J7" s="1"/>
      <c r="K7" s="1"/>
      <c r="L7" s="1"/>
      <c r="M7" s="1"/>
      <c r="N7" s="1"/>
      <c r="O7" s="1"/>
      <c r="P7" s="1"/>
      <c r="Q7" s="1"/>
      <c r="R7" s="1"/>
    </row>
    <row r="8" spans="1:18" x14ac:dyDescent="0.3">
      <c r="A8" s="1"/>
      <c r="B8" s="1"/>
      <c r="C8" s="1"/>
      <c r="D8" s="1"/>
      <c r="E8" s="1"/>
      <c r="F8" s="1"/>
      <c r="G8" s="1"/>
      <c r="H8" s="1"/>
      <c r="I8" s="1"/>
      <c r="J8" s="1"/>
      <c r="K8" s="1"/>
      <c r="L8" s="1"/>
      <c r="M8" s="1"/>
      <c r="N8" s="1"/>
      <c r="O8" s="1"/>
      <c r="P8" s="1"/>
      <c r="Q8" s="1"/>
      <c r="R8" s="1"/>
    </row>
    <row r="9" spans="1:18" x14ac:dyDescent="0.3">
      <c r="A9" s="1"/>
      <c r="B9" s="1"/>
      <c r="C9" s="1"/>
      <c r="D9" s="1"/>
      <c r="E9" s="1"/>
      <c r="F9" s="1"/>
      <c r="G9" s="1"/>
      <c r="H9" s="1"/>
      <c r="I9" s="1"/>
      <c r="J9" s="1"/>
      <c r="K9" s="1"/>
      <c r="L9" s="1"/>
      <c r="M9" s="1"/>
      <c r="N9" s="1"/>
      <c r="O9" s="1"/>
      <c r="P9" s="1"/>
      <c r="Q9" s="1"/>
      <c r="R9" s="1"/>
    </row>
    <row r="10" spans="1:18" x14ac:dyDescent="0.3">
      <c r="A10" s="1"/>
      <c r="B10" s="1"/>
      <c r="C10" s="1"/>
      <c r="D10" s="1"/>
      <c r="E10" s="1"/>
      <c r="F10" s="1"/>
      <c r="G10" s="1"/>
      <c r="H10" s="1"/>
      <c r="I10" s="1"/>
      <c r="J10" s="1"/>
      <c r="K10" s="1"/>
      <c r="L10" s="1"/>
      <c r="M10" s="1"/>
      <c r="N10" s="1"/>
      <c r="O10" s="1"/>
      <c r="P10" s="1"/>
      <c r="Q10" s="1"/>
      <c r="R10" s="1"/>
    </row>
    <row r="11" spans="1:18" x14ac:dyDescent="0.3">
      <c r="A11" s="1"/>
      <c r="B11" s="1"/>
      <c r="C11" s="1"/>
      <c r="D11" s="1"/>
      <c r="E11" s="1"/>
      <c r="F11" s="1"/>
      <c r="G11" s="1"/>
      <c r="H11" s="1"/>
      <c r="I11" s="1"/>
      <c r="J11" s="1"/>
      <c r="K11" s="1"/>
      <c r="L11" s="1"/>
      <c r="M11" s="1"/>
      <c r="N11" s="1"/>
      <c r="O11" s="1"/>
      <c r="P11" s="1"/>
      <c r="Q11" s="1"/>
      <c r="R11" s="1"/>
    </row>
    <row r="12" spans="1:18" x14ac:dyDescent="0.3">
      <c r="A12" s="1"/>
      <c r="B12" s="1"/>
      <c r="C12" s="1"/>
      <c r="D12" s="1"/>
      <c r="E12" s="1"/>
      <c r="F12" s="1"/>
      <c r="G12" s="1"/>
      <c r="H12" s="1"/>
      <c r="I12" s="1"/>
      <c r="J12" s="1"/>
      <c r="K12" s="1"/>
      <c r="L12" s="1"/>
      <c r="M12" s="1"/>
      <c r="N12" s="1"/>
      <c r="O12" s="1"/>
      <c r="P12" s="1"/>
      <c r="Q12" s="1"/>
      <c r="R12" s="1"/>
    </row>
    <row r="13" spans="1:18" x14ac:dyDescent="0.3">
      <c r="A13" s="1"/>
      <c r="B13" s="1"/>
      <c r="C13" s="1"/>
      <c r="D13" s="1"/>
      <c r="E13" s="1"/>
      <c r="F13" s="1"/>
      <c r="G13" s="1"/>
      <c r="H13" s="1"/>
      <c r="I13" s="1"/>
      <c r="J13" s="1"/>
      <c r="K13" s="1"/>
      <c r="L13" s="1"/>
      <c r="M13" s="1"/>
      <c r="N13" s="1"/>
      <c r="O13" s="1"/>
      <c r="P13" s="1"/>
      <c r="Q13" s="1"/>
      <c r="R13" s="1"/>
    </row>
    <row r="14" spans="1:18" x14ac:dyDescent="0.3">
      <c r="A14" s="1"/>
      <c r="B14" s="1"/>
      <c r="C14" s="1"/>
      <c r="D14" s="1"/>
      <c r="E14" s="1"/>
      <c r="F14" s="1"/>
      <c r="G14" s="1"/>
      <c r="H14" s="1"/>
      <c r="I14" s="1"/>
      <c r="J14" s="1"/>
      <c r="K14" s="1"/>
      <c r="L14" s="1"/>
      <c r="M14" s="1"/>
      <c r="N14" s="1"/>
      <c r="O14" s="1"/>
      <c r="P14" s="1"/>
      <c r="Q14" s="1"/>
      <c r="R14" s="1"/>
    </row>
    <row r="15" spans="1:18" x14ac:dyDescent="0.3">
      <c r="A15" s="1"/>
      <c r="B15" s="1"/>
      <c r="C15" s="1"/>
      <c r="D15" s="1"/>
      <c r="E15" s="1"/>
      <c r="F15" s="1"/>
      <c r="G15" s="1"/>
      <c r="H15" s="1"/>
      <c r="I15" s="1"/>
      <c r="J15" s="1"/>
      <c r="K15" s="1"/>
      <c r="L15" s="1"/>
      <c r="M15" s="1"/>
      <c r="N15" s="1"/>
      <c r="O15" s="1"/>
      <c r="P15" s="1"/>
      <c r="Q15" s="1"/>
      <c r="R15" s="1"/>
    </row>
    <row r="16" spans="1:18" x14ac:dyDescent="0.3">
      <c r="A16" s="1"/>
      <c r="B16" s="1"/>
      <c r="C16" s="1"/>
      <c r="D16" s="1"/>
      <c r="E16" s="1"/>
      <c r="F16" s="1"/>
      <c r="G16" s="1"/>
      <c r="H16" s="1"/>
      <c r="I16" s="1"/>
      <c r="J16" s="1"/>
      <c r="K16" s="1"/>
      <c r="L16" s="1"/>
      <c r="M16" s="1"/>
      <c r="N16" s="1"/>
      <c r="O16" s="1"/>
      <c r="P16" s="1"/>
      <c r="Q16" s="1"/>
      <c r="R16" s="1"/>
    </row>
    <row r="17" spans="1:18" ht="15.6" x14ac:dyDescent="0.3">
      <c r="A17" s="1"/>
      <c r="B17" s="1"/>
      <c r="C17" s="17" t="s">
        <v>8</v>
      </c>
      <c r="D17" s="17"/>
      <c r="E17" s="17"/>
      <c r="F17" s="17"/>
      <c r="G17" s="17"/>
      <c r="H17" s="17"/>
      <c r="I17" s="17"/>
      <c r="J17" s="17"/>
      <c r="K17" s="17"/>
      <c r="L17" s="17"/>
      <c r="M17" s="17"/>
      <c r="N17" s="17"/>
      <c r="O17" s="17"/>
      <c r="P17" s="1"/>
      <c r="Q17" s="1"/>
      <c r="R17" s="1"/>
    </row>
    <row r="18" spans="1:18" x14ac:dyDescent="0.3">
      <c r="A18" s="1"/>
      <c r="B18" s="1"/>
      <c r="C18" s="1"/>
      <c r="D18" s="1"/>
      <c r="E18" s="1"/>
      <c r="F18" s="1"/>
      <c r="G18" s="1"/>
      <c r="H18" s="1"/>
      <c r="I18" s="1"/>
      <c r="J18" s="1"/>
      <c r="K18" s="1"/>
      <c r="L18" s="1"/>
      <c r="M18" s="1"/>
      <c r="N18" s="1"/>
      <c r="O18" s="1"/>
      <c r="P18" s="1"/>
      <c r="Q18" s="1"/>
      <c r="R18" s="1"/>
    </row>
    <row r="19" spans="1:18" x14ac:dyDescent="0.3">
      <c r="A19" s="1"/>
      <c r="B19" s="1"/>
      <c r="C19" s="1"/>
      <c r="D19" s="1"/>
      <c r="E19" s="1"/>
      <c r="F19" s="1"/>
      <c r="G19" s="1"/>
      <c r="H19" s="1"/>
      <c r="I19" s="1"/>
      <c r="J19" s="1"/>
      <c r="K19" s="1"/>
      <c r="L19" s="1"/>
      <c r="M19" s="1"/>
      <c r="N19" s="1"/>
      <c r="O19" s="1"/>
      <c r="P19" s="1"/>
      <c r="Q19" s="1"/>
      <c r="R19" s="1"/>
    </row>
    <row r="20" spans="1:18" x14ac:dyDescent="0.3">
      <c r="A20" s="1"/>
      <c r="B20" s="1"/>
      <c r="C20" s="1"/>
      <c r="D20" s="1"/>
      <c r="E20" s="1"/>
      <c r="F20" s="1"/>
      <c r="G20" s="1"/>
      <c r="H20" s="1"/>
      <c r="I20" s="1"/>
      <c r="J20" s="1"/>
      <c r="K20" s="1"/>
      <c r="L20" s="1"/>
      <c r="M20" s="1"/>
      <c r="N20" s="1"/>
      <c r="O20" s="1"/>
      <c r="P20" s="1"/>
      <c r="Q20" s="1"/>
      <c r="R20" s="1"/>
    </row>
    <row r="21" spans="1:18" x14ac:dyDescent="0.3">
      <c r="A21" s="1"/>
      <c r="B21" s="1"/>
      <c r="C21" s="1"/>
      <c r="D21" s="1"/>
      <c r="E21" s="1"/>
      <c r="F21" s="1"/>
      <c r="G21" s="1"/>
      <c r="H21" s="1"/>
      <c r="I21" s="1"/>
      <c r="J21" s="1"/>
      <c r="K21" s="1"/>
      <c r="L21" s="1"/>
      <c r="M21" s="1"/>
      <c r="N21" s="1"/>
      <c r="O21" s="1"/>
      <c r="P21" s="1"/>
      <c r="Q21" s="1"/>
      <c r="R21" s="1"/>
    </row>
    <row r="22" spans="1:18" x14ac:dyDescent="0.3">
      <c r="A22" s="1"/>
      <c r="B22" s="1"/>
      <c r="C22" s="1"/>
      <c r="D22" s="1"/>
      <c r="E22" s="1"/>
      <c r="F22" s="1"/>
      <c r="G22" s="1"/>
      <c r="H22" s="1"/>
      <c r="I22" s="1"/>
      <c r="J22" s="1"/>
      <c r="K22" s="1"/>
      <c r="L22" s="1"/>
      <c r="M22" s="1"/>
      <c r="N22" s="1"/>
      <c r="O22" s="1"/>
      <c r="P22" s="1"/>
      <c r="Q22" s="1"/>
      <c r="R22" s="1"/>
    </row>
    <row r="23" spans="1:18" x14ac:dyDescent="0.3">
      <c r="A23" s="1"/>
      <c r="B23" s="1"/>
      <c r="C23" s="1"/>
      <c r="D23" s="1"/>
      <c r="E23" s="1"/>
      <c r="F23" s="1"/>
      <c r="G23" s="1"/>
      <c r="H23" s="1"/>
      <c r="I23" s="1"/>
      <c r="J23" s="1"/>
      <c r="K23" s="1"/>
      <c r="L23" s="1"/>
      <c r="M23" s="1"/>
      <c r="N23" s="1"/>
      <c r="O23" s="1"/>
      <c r="P23" s="1"/>
      <c r="Q23" s="1"/>
      <c r="R23" s="1"/>
    </row>
    <row r="24" spans="1:18" x14ac:dyDescent="0.3">
      <c r="A24" s="1"/>
      <c r="B24" s="1"/>
      <c r="C24" s="1"/>
      <c r="D24" s="1"/>
      <c r="E24" s="1"/>
      <c r="F24" s="1"/>
      <c r="G24" s="1"/>
      <c r="H24" s="1"/>
      <c r="I24" s="1"/>
      <c r="J24" s="1"/>
      <c r="K24" s="1"/>
      <c r="L24" s="1"/>
      <c r="M24" s="1"/>
      <c r="N24" s="1"/>
      <c r="O24" s="1"/>
      <c r="P24" s="1"/>
      <c r="Q24" s="1"/>
      <c r="R24" s="1"/>
    </row>
    <row r="25" spans="1:18" x14ac:dyDescent="0.3">
      <c r="A25" s="1"/>
      <c r="B25" s="1"/>
      <c r="C25" s="1"/>
      <c r="D25" s="1"/>
      <c r="E25" s="1"/>
      <c r="F25" s="1"/>
      <c r="G25" s="1"/>
      <c r="H25" s="1"/>
      <c r="I25" s="1"/>
      <c r="J25" s="1"/>
      <c r="K25" s="1"/>
      <c r="L25" s="1"/>
      <c r="M25" s="1"/>
      <c r="N25" s="1"/>
      <c r="O25" s="1"/>
      <c r="P25" s="1"/>
      <c r="Q25" s="1"/>
      <c r="R25" s="1"/>
    </row>
    <row r="26" spans="1:18" x14ac:dyDescent="0.3">
      <c r="A26" s="1"/>
      <c r="B26" s="1"/>
      <c r="C26" s="1"/>
      <c r="D26" s="1"/>
      <c r="E26" s="1"/>
      <c r="F26" s="1"/>
      <c r="G26" s="1"/>
      <c r="H26" s="1"/>
      <c r="I26" s="1"/>
      <c r="J26" s="1"/>
      <c r="K26" s="1"/>
      <c r="L26" s="1"/>
      <c r="M26" s="1"/>
      <c r="N26" s="1"/>
      <c r="O26" s="1"/>
      <c r="P26" s="1"/>
      <c r="Q26" s="1"/>
      <c r="R26" s="1"/>
    </row>
    <row r="27" spans="1:18" x14ac:dyDescent="0.3">
      <c r="A27" s="1"/>
      <c r="B27" s="1"/>
      <c r="C27" s="1"/>
      <c r="D27" s="1"/>
      <c r="E27" s="1"/>
      <c r="F27" s="1"/>
      <c r="G27" s="1"/>
      <c r="H27" s="1"/>
      <c r="I27" s="1"/>
      <c r="J27" s="1"/>
      <c r="K27" s="1"/>
      <c r="L27" s="1"/>
      <c r="M27" s="1"/>
      <c r="N27" s="1"/>
      <c r="O27" s="1"/>
      <c r="P27" s="1"/>
      <c r="Q27" s="1"/>
      <c r="R27" s="1"/>
    </row>
    <row r="28" spans="1:18" x14ac:dyDescent="0.3">
      <c r="A28" s="1"/>
      <c r="B28" s="1"/>
      <c r="C28" s="1"/>
      <c r="D28" s="1"/>
      <c r="E28" s="1"/>
      <c r="F28" s="1"/>
      <c r="G28" s="1"/>
      <c r="H28" s="1"/>
      <c r="I28" s="1"/>
      <c r="J28" s="1"/>
      <c r="K28" s="1"/>
      <c r="L28" s="1"/>
      <c r="M28" s="1"/>
      <c r="N28" s="1"/>
      <c r="O28" s="1"/>
      <c r="P28" s="1"/>
      <c r="Q28" s="1"/>
      <c r="R28" s="1"/>
    </row>
  </sheetData>
  <mergeCells count="1">
    <mergeCell ref="C17:O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32DE7-6D0F-4F4B-A5B3-F04B837B8AC1}">
  <dimension ref="A1:R28"/>
  <sheetViews>
    <sheetView tabSelected="1" zoomScale="130" zoomScaleNormal="130" workbookViewId="0">
      <selection activeCell="B17" sqref="B17"/>
    </sheetView>
  </sheetViews>
  <sheetFormatPr defaultRowHeight="14.4" x14ac:dyDescent="0.3"/>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x14ac:dyDescent="0.3">
      <c r="A3" s="1"/>
      <c r="B3" s="1"/>
      <c r="C3" s="1"/>
      <c r="D3" s="1"/>
      <c r="E3" s="1"/>
      <c r="F3" s="1"/>
      <c r="G3" s="1"/>
      <c r="H3" s="1"/>
      <c r="I3" s="1"/>
      <c r="J3" s="1"/>
      <c r="K3" s="1"/>
      <c r="L3" s="1"/>
      <c r="M3" s="1"/>
      <c r="N3" s="1"/>
      <c r="O3" s="1"/>
      <c r="P3" s="1"/>
      <c r="Q3" s="1"/>
      <c r="R3" s="1"/>
    </row>
    <row r="4" spans="1:18"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x14ac:dyDescent="0.3">
      <c r="A6" s="1"/>
      <c r="B6" s="1"/>
      <c r="C6" s="1"/>
      <c r="D6" s="1"/>
      <c r="E6" s="1"/>
      <c r="F6" s="1"/>
      <c r="G6" s="1"/>
      <c r="H6" s="1"/>
      <c r="I6" s="1"/>
      <c r="J6" s="1"/>
      <c r="K6" s="1"/>
      <c r="L6" s="1"/>
      <c r="M6" s="1"/>
      <c r="N6" s="1"/>
      <c r="O6" s="1"/>
      <c r="P6" s="1"/>
      <c r="Q6" s="1"/>
      <c r="R6" s="1"/>
    </row>
    <row r="7" spans="1:18" x14ac:dyDescent="0.3">
      <c r="A7" s="1"/>
      <c r="B7" s="1"/>
      <c r="C7" s="1"/>
      <c r="D7" s="1"/>
      <c r="E7" s="1"/>
      <c r="F7" s="1"/>
      <c r="G7" s="1"/>
      <c r="H7" s="1"/>
      <c r="I7" s="1"/>
      <c r="J7" s="1"/>
      <c r="K7" s="1"/>
      <c r="L7" s="1"/>
      <c r="M7" s="1"/>
      <c r="N7" s="1"/>
      <c r="O7" s="1"/>
      <c r="P7" s="1"/>
      <c r="Q7" s="1"/>
      <c r="R7" s="1"/>
    </row>
    <row r="8" spans="1:18" x14ac:dyDescent="0.3">
      <c r="A8" s="1"/>
      <c r="B8" s="1"/>
      <c r="C8" s="1"/>
      <c r="D8" s="1"/>
      <c r="E8" s="1"/>
      <c r="F8" s="1"/>
      <c r="G8" s="1"/>
      <c r="H8" s="1"/>
      <c r="I8" s="1"/>
      <c r="J8" s="1"/>
      <c r="K8" s="1"/>
      <c r="L8" s="1"/>
      <c r="M8" s="1"/>
      <c r="N8" s="1"/>
      <c r="O8" s="1"/>
      <c r="P8" s="1"/>
      <c r="Q8" s="1"/>
      <c r="R8" s="1"/>
    </row>
    <row r="9" spans="1:18" x14ac:dyDescent="0.3">
      <c r="A9" s="1"/>
      <c r="B9" s="1"/>
      <c r="C9" s="1"/>
      <c r="D9" s="1"/>
      <c r="E9" s="1"/>
      <c r="F9" s="1"/>
      <c r="G9" s="1"/>
      <c r="H9" s="1"/>
      <c r="I9" s="1"/>
      <c r="J9" s="1"/>
      <c r="K9" s="1"/>
      <c r="L9" s="1"/>
      <c r="M9" s="1"/>
      <c r="N9" s="1"/>
      <c r="O9" s="1"/>
      <c r="P9" s="1"/>
      <c r="Q9" s="1"/>
      <c r="R9" s="1"/>
    </row>
    <row r="10" spans="1:18" x14ac:dyDescent="0.3">
      <c r="A10" s="1"/>
      <c r="B10" s="1"/>
      <c r="C10" s="1"/>
      <c r="D10" s="1"/>
      <c r="E10" s="1"/>
      <c r="F10" s="1"/>
      <c r="G10" s="1"/>
      <c r="H10" s="1"/>
      <c r="I10" s="1"/>
      <c r="J10" s="1"/>
      <c r="K10" s="1"/>
      <c r="L10" s="1"/>
      <c r="M10" s="1"/>
      <c r="N10" s="1"/>
      <c r="O10" s="1"/>
      <c r="P10" s="1"/>
      <c r="Q10" s="1"/>
      <c r="R10" s="1"/>
    </row>
    <row r="11" spans="1:18" x14ac:dyDescent="0.3">
      <c r="A11" s="1"/>
      <c r="B11" s="1"/>
      <c r="C11" s="1"/>
      <c r="D11" s="1"/>
      <c r="E11" s="1"/>
      <c r="F11" s="1"/>
      <c r="G11" s="1"/>
      <c r="H11" s="1"/>
      <c r="I11" s="1"/>
      <c r="J11" s="1"/>
      <c r="K11" s="1"/>
      <c r="L11" s="1"/>
      <c r="M11" s="1"/>
      <c r="N11" s="1"/>
      <c r="O11" s="1"/>
      <c r="P11" s="1"/>
      <c r="Q11" s="1"/>
      <c r="R11" s="1"/>
    </row>
    <row r="12" spans="1:18" x14ac:dyDescent="0.3">
      <c r="A12" s="1"/>
      <c r="B12" s="1"/>
      <c r="C12" s="1"/>
      <c r="D12" s="1"/>
      <c r="E12" s="1"/>
      <c r="F12" s="1"/>
      <c r="G12" s="1"/>
      <c r="H12" s="1"/>
      <c r="I12" s="1"/>
      <c r="J12" s="1"/>
      <c r="K12" s="1"/>
      <c r="L12" s="1"/>
      <c r="M12" s="1"/>
      <c r="N12" s="1"/>
      <c r="O12" s="1"/>
      <c r="P12" s="1"/>
      <c r="Q12" s="1"/>
      <c r="R12" s="1"/>
    </row>
    <row r="13" spans="1:18" x14ac:dyDescent="0.3">
      <c r="A13" s="1"/>
      <c r="K13" s="1"/>
      <c r="L13" s="1"/>
      <c r="M13" s="1"/>
      <c r="N13" s="1"/>
      <c r="O13" s="1"/>
      <c r="P13" s="1"/>
      <c r="Q13" s="1"/>
      <c r="R13" s="1"/>
    </row>
    <row r="14" spans="1:18" x14ac:dyDescent="0.3">
      <c r="A14" s="1"/>
      <c r="B14" s="1"/>
      <c r="C14" s="1"/>
      <c r="N14" s="1"/>
      <c r="O14" s="1"/>
      <c r="P14" s="1"/>
      <c r="Q14" s="1"/>
      <c r="R14" s="1"/>
    </row>
    <row r="15" spans="1:18" x14ac:dyDescent="0.3">
      <c r="A15" s="1"/>
      <c r="B15" s="1"/>
      <c r="C15" s="1"/>
      <c r="D15" s="1"/>
      <c r="E15" s="1"/>
      <c r="F15" s="1"/>
      <c r="G15" s="1"/>
      <c r="H15" s="1"/>
      <c r="I15" s="1"/>
      <c r="J15" s="1"/>
      <c r="K15" s="1"/>
      <c r="L15" s="1"/>
      <c r="M15" s="1"/>
      <c r="N15" s="1"/>
      <c r="O15" s="1"/>
      <c r="P15" s="1"/>
      <c r="Q15" s="1"/>
      <c r="R15" s="1"/>
    </row>
    <row r="16" spans="1:18" x14ac:dyDescent="0.3">
      <c r="A16" s="1"/>
      <c r="B16" s="1"/>
      <c r="C16" s="1"/>
      <c r="D16" s="1"/>
      <c r="E16" s="1"/>
      <c r="F16" s="1"/>
      <c r="G16" s="1"/>
      <c r="H16" s="1"/>
      <c r="I16" s="1"/>
      <c r="J16" s="1"/>
      <c r="K16" s="1"/>
      <c r="L16" s="1"/>
      <c r="M16" s="1"/>
      <c r="N16" s="1"/>
      <c r="O16" s="1"/>
      <c r="P16" s="1"/>
      <c r="Q16" s="1"/>
      <c r="R16" s="1"/>
    </row>
    <row r="17" spans="1:18" ht="15.6" x14ac:dyDescent="0.3">
      <c r="A17" s="1"/>
      <c r="B17" s="1"/>
      <c r="C17" s="1"/>
      <c r="D17" s="17" t="s">
        <v>6</v>
      </c>
      <c r="E17" s="17"/>
      <c r="F17" s="17"/>
      <c r="G17" s="17"/>
      <c r="H17" s="17"/>
      <c r="I17" s="17"/>
      <c r="J17" s="17"/>
      <c r="K17" s="17"/>
      <c r="L17" s="17"/>
      <c r="M17" s="17"/>
      <c r="N17" s="1"/>
      <c r="O17" s="1"/>
      <c r="P17" s="1"/>
      <c r="Q17" s="1"/>
      <c r="R17" s="1"/>
    </row>
    <row r="18" spans="1:18" x14ac:dyDescent="0.3">
      <c r="A18" s="1"/>
      <c r="B18" s="1"/>
      <c r="C18" s="1"/>
      <c r="D18" s="1"/>
      <c r="E18" s="1"/>
      <c r="F18" s="1"/>
      <c r="G18" s="1"/>
      <c r="H18" s="1"/>
      <c r="I18" s="1"/>
      <c r="J18" s="1"/>
      <c r="K18" s="1"/>
      <c r="L18" s="1"/>
      <c r="M18" s="1"/>
      <c r="N18" s="1"/>
      <c r="O18" s="1"/>
      <c r="P18" s="1"/>
      <c r="Q18" s="1"/>
      <c r="R18" s="1"/>
    </row>
    <row r="19" spans="1:18" x14ac:dyDescent="0.3">
      <c r="A19" s="1"/>
      <c r="B19" s="1"/>
      <c r="C19" s="1"/>
      <c r="D19" s="1"/>
      <c r="E19" s="1"/>
      <c r="F19" s="1"/>
      <c r="G19" s="1"/>
      <c r="H19" s="1"/>
      <c r="I19" s="1"/>
      <c r="J19" s="1"/>
      <c r="K19" s="1"/>
      <c r="L19" s="1"/>
      <c r="M19" s="1"/>
      <c r="N19" s="1"/>
      <c r="O19" s="1"/>
      <c r="P19" s="1"/>
      <c r="Q19" s="1"/>
      <c r="R19" s="1"/>
    </row>
    <row r="20" spans="1:18" x14ac:dyDescent="0.3">
      <c r="A20" s="1"/>
      <c r="B20" s="1"/>
      <c r="C20" s="1"/>
      <c r="D20" s="1"/>
      <c r="E20" s="1"/>
      <c r="F20" s="1"/>
      <c r="G20" s="1"/>
      <c r="H20" s="1"/>
      <c r="I20" s="1"/>
      <c r="J20" s="1"/>
      <c r="K20" s="1"/>
      <c r="L20" s="1"/>
      <c r="M20" s="1"/>
      <c r="N20" s="1"/>
      <c r="O20" s="1"/>
      <c r="P20" s="1"/>
      <c r="Q20" s="1"/>
      <c r="R20" s="1"/>
    </row>
    <row r="21" spans="1:18" x14ac:dyDescent="0.3">
      <c r="A21" s="1"/>
      <c r="B21" s="1"/>
      <c r="C21" s="1"/>
      <c r="D21" s="1"/>
      <c r="E21" s="1"/>
      <c r="F21" s="1"/>
      <c r="G21" s="1"/>
      <c r="H21" s="1"/>
      <c r="I21" s="1"/>
      <c r="J21" s="1"/>
      <c r="K21" s="1"/>
      <c r="L21" s="1"/>
      <c r="M21" s="1"/>
      <c r="N21" s="1"/>
      <c r="O21" s="1"/>
      <c r="P21" s="1"/>
      <c r="Q21" s="1"/>
      <c r="R21" s="1"/>
    </row>
    <row r="22" spans="1:18" x14ac:dyDescent="0.3">
      <c r="A22" s="1"/>
      <c r="B22" s="1"/>
      <c r="C22" s="1"/>
      <c r="D22" s="1"/>
      <c r="E22" s="1"/>
      <c r="F22" s="1"/>
      <c r="G22" s="1"/>
      <c r="H22" s="1"/>
      <c r="I22" s="1"/>
      <c r="J22" s="1"/>
      <c r="K22" s="1"/>
      <c r="L22" s="1"/>
      <c r="M22" s="1"/>
      <c r="N22" s="1"/>
      <c r="O22" s="1"/>
      <c r="P22" s="1"/>
      <c r="Q22" s="1"/>
      <c r="R22" s="1"/>
    </row>
    <row r="23" spans="1:18" x14ac:dyDescent="0.3">
      <c r="A23" s="1"/>
      <c r="B23" s="1"/>
      <c r="C23" s="1"/>
      <c r="D23" s="1"/>
      <c r="E23" s="1"/>
      <c r="F23" s="1"/>
      <c r="G23" s="1"/>
      <c r="H23" s="1"/>
      <c r="I23" s="1"/>
      <c r="J23" s="1"/>
      <c r="K23" s="1"/>
      <c r="L23" s="1"/>
      <c r="M23" s="1"/>
      <c r="N23" s="1"/>
      <c r="O23" s="1"/>
      <c r="P23" s="1"/>
      <c r="Q23" s="1"/>
      <c r="R23" s="1"/>
    </row>
    <row r="24" spans="1:18" x14ac:dyDescent="0.3">
      <c r="A24" s="1"/>
      <c r="B24" s="1"/>
      <c r="C24" s="1"/>
      <c r="D24" s="1"/>
      <c r="E24" s="1"/>
      <c r="F24" s="1"/>
      <c r="G24" s="1"/>
      <c r="H24" s="1"/>
      <c r="I24" s="1"/>
      <c r="J24" s="1"/>
      <c r="K24" s="1"/>
      <c r="L24" s="1"/>
      <c r="M24" s="1"/>
      <c r="N24" s="1"/>
      <c r="O24" s="1"/>
      <c r="P24" s="1"/>
      <c r="Q24" s="1"/>
      <c r="R24" s="1"/>
    </row>
    <row r="25" spans="1:18" x14ac:dyDescent="0.3">
      <c r="A25" s="1"/>
      <c r="B25" s="1"/>
      <c r="C25" s="1"/>
      <c r="D25" s="1"/>
      <c r="E25" s="1"/>
      <c r="F25" s="1"/>
      <c r="G25" s="1"/>
      <c r="H25" s="1"/>
      <c r="I25" s="1"/>
      <c r="J25" s="1"/>
      <c r="K25" s="1"/>
      <c r="L25" s="1"/>
      <c r="M25" s="1"/>
      <c r="N25" s="1"/>
      <c r="O25" s="1"/>
      <c r="P25" s="1"/>
      <c r="Q25" s="1"/>
      <c r="R25" s="1"/>
    </row>
    <row r="26" spans="1:18" x14ac:dyDescent="0.3">
      <c r="A26" s="1"/>
      <c r="B26" s="1"/>
      <c r="C26" s="1"/>
      <c r="D26" s="1"/>
      <c r="E26" s="1"/>
      <c r="F26" s="1"/>
      <c r="G26" s="1"/>
      <c r="H26" s="1"/>
      <c r="I26" s="1"/>
      <c r="J26" s="1"/>
      <c r="K26" s="1"/>
      <c r="L26" s="1"/>
      <c r="M26" s="1"/>
      <c r="N26" s="1"/>
      <c r="O26" s="1"/>
      <c r="P26" s="1"/>
      <c r="Q26" s="1"/>
      <c r="R26" s="1"/>
    </row>
    <row r="27" spans="1:18" x14ac:dyDescent="0.3">
      <c r="A27" s="1"/>
      <c r="B27" s="1"/>
      <c r="C27" s="1"/>
      <c r="D27" s="1"/>
      <c r="E27" s="1"/>
      <c r="F27" s="1"/>
      <c r="G27" s="1"/>
      <c r="H27" s="1"/>
      <c r="I27" s="1"/>
      <c r="J27" s="1"/>
      <c r="K27" s="1"/>
      <c r="L27" s="1"/>
      <c r="M27" s="1"/>
      <c r="N27" s="1"/>
      <c r="O27" s="1"/>
      <c r="P27" s="1"/>
      <c r="Q27" s="1"/>
      <c r="R27" s="1"/>
    </row>
    <row r="28" spans="1:18" x14ac:dyDescent="0.3">
      <c r="A28" s="1"/>
      <c r="B28" s="1"/>
      <c r="C28" s="1"/>
      <c r="D28" s="1"/>
      <c r="E28" s="1"/>
      <c r="F28" s="1"/>
      <c r="G28" s="1"/>
      <c r="H28" s="1"/>
      <c r="I28" s="1"/>
      <c r="J28" s="1"/>
      <c r="K28" s="1"/>
      <c r="L28" s="1"/>
      <c r="M28" s="1"/>
      <c r="N28" s="1"/>
      <c r="O28" s="1"/>
      <c r="P28" s="1"/>
      <c r="Q28" s="1"/>
      <c r="R28" s="1"/>
    </row>
  </sheetData>
  <mergeCells count="1">
    <mergeCell ref="D17:M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3D57A3F-B17C-414E-92B8-017F12710604}">
  <ds:schemaRefs/>
</ds:datastoreItem>
</file>

<file path=customXml/itemProps2.xml><?xml version="1.0" encoding="utf-8"?>
<ds:datastoreItem xmlns:ds="http://schemas.openxmlformats.org/officeDocument/2006/customXml" ds:itemID="{E0F5C01F-D1EC-4644-B019-273E2C88C57B}">
  <ds:schemaRefs/>
</ds:datastoreItem>
</file>

<file path=customXml/itemProps3.xml><?xml version="1.0" encoding="utf-8"?>
<ds:datastoreItem xmlns:ds="http://schemas.openxmlformats.org/officeDocument/2006/customXml" ds:itemID="{4E35E435-9CBD-434B-9AB0-F39C77BC205F}">
  <ds:schemaRefs/>
</ds:datastoreItem>
</file>

<file path=customXml/itemProps4.xml><?xml version="1.0" encoding="utf-8"?>
<ds:datastoreItem xmlns:ds="http://schemas.openxmlformats.org/officeDocument/2006/customXml" ds:itemID="{1A4203EE-67C0-488B-8F18-40A3C59202FD}">
  <ds:schemaRefs/>
</ds:datastoreItem>
</file>

<file path=customXml/itemProps5.xml><?xml version="1.0" encoding="utf-8"?>
<ds:datastoreItem xmlns:ds="http://schemas.openxmlformats.org/officeDocument/2006/customXml" ds:itemID="{D5A05898-7C0B-4C42-A06C-D1C41463A147}">
  <ds:schemaRefs>
    <ds:schemaRef ds:uri="http://schemas.microsoft.com/DataMashup"/>
  </ds:schemaRefs>
</ds:datastoreItem>
</file>

<file path=customXml/itemProps6.xml><?xml version="1.0" encoding="utf-8"?>
<ds:datastoreItem xmlns:ds="http://schemas.openxmlformats.org/officeDocument/2006/customXml" ds:itemID="{1F423212-0D1B-4C78-AA4C-56306E117CC1}">
  <ds:schemaRefs/>
</ds:datastoreItem>
</file>

<file path=customXml/itemProps7.xml><?xml version="1.0" encoding="utf-8"?>
<ds:datastoreItem xmlns:ds="http://schemas.openxmlformats.org/officeDocument/2006/customXml" ds:itemID="{DC03D010-FE71-4793-B29D-6392AF8F3BDF}">
  <ds:schemaRefs/>
</ds:datastoreItem>
</file>

<file path=customXml/itemProps8.xml><?xml version="1.0" encoding="utf-8"?>
<ds:datastoreItem xmlns:ds="http://schemas.openxmlformats.org/officeDocument/2006/customXml" ds:itemID="{C76081B7-E947-47DA-AD5D-412C9FCBD3EA}">
  <ds:schemaRefs/>
</ds:datastoreItem>
</file>

<file path=customXml/itemProps9.xml><?xml version="1.0" encoding="utf-8"?>
<ds:datastoreItem xmlns:ds="http://schemas.openxmlformats.org/officeDocument/2006/customXml" ds:itemID="{A07AB0EA-12DD-41AC-AA38-EBD2883A390B}">
  <ds:schemaRefs/>
</ds:datastoreItem>
</file>

<file path=customXml/itemProps10.xml><?xml version="1.0" encoding="utf-8"?>
<ds:datastoreItem xmlns:ds="http://schemas.openxmlformats.org/officeDocument/2006/customXml" ds:itemID="{A6CD1522-B0E4-4672-B17F-557FC53BC8AA}">
  <ds:schemaRefs/>
</ds:datastoreItem>
</file>

<file path=customXml/itemProps11.xml><?xml version="1.0" encoding="utf-8"?>
<ds:datastoreItem xmlns:ds="http://schemas.openxmlformats.org/officeDocument/2006/customXml" ds:itemID="{E8A50F2A-141C-402F-B8BC-6FFE44D36590}">
  <ds:schemaRefs/>
</ds:datastoreItem>
</file>

<file path=customXml/itemProps12.xml><?xml version="1.0" encoding="utf-8"?>
<ds:datastoreItem xmlns:ds="http://schemas.openxmlformats.org/officeDocument/2006/customXml" ds:itemID="{E81D72A6-AD3B-492D-AB7B-AFA2F97E5494}">
  <ds:schemaRefs/>
</ds:datastoreItem>
</file>

<file path=customXml/itemProps13.xml><?xml version="1.0" encoding="utf-8"?>
<ds:datastoreItem xmlns:ds="http://schemas.openxmlformats.org/officeDocument/2006/customXml" ds:itemID="{8244B686-ED0D-49EC-B041-57BF6EAE2AE7}">
  <ds:schemaRefs/>
</ds:datastoreItem>
</file>

<file path=customXml/itemProps14.xml><?xml version="1.0" encoding="utf-8"?>
<ds:datastoreItem xmlns:ds="http://schemas.openxmlformats.org/officeDocument/2006/customXml" ds:itemID="{9E96BD49-27AE-416F-930A-B31EB61F2D94}">
  <ds:schemaRefs/>
</ds:datastoreItem>
</file>

<file path=customXml/itemProps15.xml><?xml version="1.0" encoding="utf-8"?>
<ds:datastoreItem xmlns:ds="http://schemas.openxmlformats.org/officeDocument/2006/customXml" ds:itemID="{A300234B-11F5-4B82-869D-1451A7222911}">
  <ds:schemaRefs/>
</ds:datastoreItem>
</file>

<file path=customXml/itemProps16.xml><?xml version="1.0" encoding="utf-8"?>
<ds:datastoreItem xmlns:ds="http://schemas.openxmlformats.org/officeDocument/2006/customXml" ds:itemID="{E20ABEE9-454E-44E8-90A4-3AE540C5B653}">
  <ds:schemaRefs/>
</ds:datastoreItem>
</file>

<file path=customXml/itemProps17.xml><?xml version="1.0" encoding="utf-8"?>
<ds:datastoreItem xmlns:ds="http://schemas.openxmlformats.org/officeDocument/2006/customXml" ds:itemID="{120CD3C0-6F76-4FE7-9DB7-CF9EF6D3F048}">
  <ds:schemaRefs/>
</ds:datastoreItem>
</file>

<file path=customXml/itemProps18.xml><?xml version="1.0" encoding="utf-8"?>
<ds:datastoreItem xmlns:ds="http://schemas.openxmlformats.org/officeDocument/2006/customXml" ds:itemID="{4DB7BDE3-F49A-42C6-B5D0-0DCAA55ACF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 daily trend</vt:lpstr>
      <vt:lpstr>Average wait time daily trend</vt:lpstr>
      <vt:lpstr>Daily ER No. 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ANKUSH BHAGAT 2103680</dc:creator>
  <cp:lastModifiedBy>ADITI ANKUSH BHAGAT 2103680</cp:lastModifiedBy>
  <dcterms:created xsi:type="dcterms:W3CDTF">2026-01-13T09:21:51Z</dcterms:created>
  <dcterms:modified xsi:type="dcterms:W3CDTF">2026-08-24T06:41:46Z</dcterms:modified>
</cp:coreProperties>
</file>